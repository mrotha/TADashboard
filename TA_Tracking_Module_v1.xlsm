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afed37c9d5fcf0e/04_My Works/01_Automation/02_Python/01_Learning/01_TA Chart/"/>
    </mc:Choice>
  </mc:AlternateContent>
  <xr:revisionPtr revIDLastSave="1090" documentId="8_{2BE2D30B-B19C-4CE8-AA24-61492415E642}" xr6:coauthVersionLast="47" xr6:coauthVersionMax="47" xr10:uidLastSave="{751E0E20-7087-430F-84BC-658CB2FC166D}"/>
  <bookViews>
    <workbookView xWindow="-110" yWindow="-110" windowWidth="19420" windowHeight="11500" firstSheet="3" activeTab="3" xr2:uid="{7AB70F5C-604B-410A-AF9A-4ADB1A527A6A}"/>
  </bookViews>
  <sheets>
    <sheet name="tblApp" sheetId="6" state="veryHidden" r:id="rId1"/>
    <sheet name="tblPost" sheetId="5" state="veryHidden" r:id="rId2"/>
    <sheet name="tblCand" sheetId="7" state="veryHidden" r:id="rId3"/>
    <sheet name="Position" sheetId="1" r:id="rId4"/>
    <sheet name="Candidate" sheetId="2" r:id="rId5"/>
    <sheet name="Application" sheetId="3" r:id="rId6"/>
  </sheets>
  <functionGroups builtInGroupCount="19"/>
  <definedNames>
    <definedName name="_xlnm._FilterDatabase" localSheetId="5" hidden="1">Application!$B$1:$R$620</definedName>
    <definedName name="_xlnm._FilterDatabase" localSheetId="4" hidden="1">Candidate!$B$1:$I$620</definedName>
    <definedName name="_xlnm._FilterDatabase" localSheetId="3" hidden="1">Position!$A$1:$M$53</definedName>
    <definedName name="end_month">EOMONTH(start_month,0)</definedName>
    <definedName name="ExternalData_1" localSheetId="2" hidden="1">tblCand!$A$1:$Q$620</definedName>
    <definedName name="ExternalData_1" localSheetId="1" hidden="1">tblPost!$A$1:$N$53</definedName>
    <definedName name="ExternalData_2" localSheetId="0" hidden="1">tblApp!$A$1:$O$620</definedName>
    <definedName name="lbl_wt_1">tblPost!$S$34</definedName>
    <definedName name="lbl_wt_2">tblPost!$S$35</definedName>
    <definedName name="lbl_wt_3">tblPost!$S$36</definedName>
    <definedName name="lbl_wt_4">tblPost!$S$37</definedName>
    <definedName name="lbl_wt_5">tblPost!$S$38</definedName>
    <definedName name="month">tblPost!$R$10</definedName>
    <definedName name="Result">tblPost!$S$37</definedName>
    <definedName name="start_month">DATEVALUE("1"&amp;tblPost!A$1&amp;"2024")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5" i="5" l="1" a="1"/>
  <c r="X5" i="5" s="1"/>
  <c r="T16" i="6"/>
  <c r="R6" i="6"/>
  <c r="S38" i="5" l="1"/>
  <c r="S37" i="5"/>
  <c r="S36" i="5"/>
  <c r="S35" i="5"/>
  <c r="S34" i="5"/>
  <c r="S26" i="5" a="1"/>
  <c r="S26" i="5" s="1"/>
  <c r="T26" i="5" a="1"/>
  <c r="T26" i="5" s="1"/>
  <c r="U26" i="5" a="1"/>
  <c r="U26" i="5" s="1"/>
  <c r="V26" i="5" a="1"/>
  <c r="V26" i="5" s="1"/>
  <c r="W26" i="5" a="1"/>
  <c r="W26" i="5" s="1"/>
  <c r="X26" i="5" a="1"/>
  <c r="X26" i="5" s="1"/>
  <c r="Y26" i="5" a="1"/>
  <c r="Y26" i="5" s="1"/>
  <c r="Z26" i="5" a="1"/>
  <c r="Z26" i="5" s="1"/>
  <c r="AA26" i="5" a="1"/>
  <c r="AA26" i="5" s="1"/>
  <c r="AB26" i="5" a="1"/>
  <c r="AB26" i="5" s="1"/>
  <c r="AC26" i="5" a="1"/>
  <c r="AC26" i="5" s="1"/>
  <c r="AD26" i="5" a="1"/>
  <c r="AD26" i="5" s="1"/>
  <c r="AD16" i="5" a="1"/>
  <c r="AD16" i="5" s="1"/>
  <c r="AC16" i="5" a="1"/>
  <c r="AC16" i="5" s="1"/>
  <c r="AB16" i="5" a="1"/>
  <c r="AB16" i="5" s="1"/>
  <c r="AA16" i="5" a="1"/>
  <c r="AA16" i="5" s="1"/>
  <c r="Z16" i="5" a="1"/>
  <c r="Z16" i="5" s="1"/>
  <c r="Y16" i="5" a="1"/>
  <c r="Y16" i="5" s="1"/>
  <c r="X16" i="5" a="1"/>
  <c r="X16" i="5" s="1"/>
  <c r="W16" i="5" a="1"/>
  <c r="W16" i="5" s="1"/>
  <c r="V16" i="5" a="1"/>
  <c r="V16" i="5" s="1"/>
  <c r="U16" i="5" a="1"/>
  <c r="U16" i="5" s="1"/>
  <c r="T16" i="5" a="1"/>
  <c r="T16" i="5" s="1"/>
  <c r="S16" i="5" a="1"/>
  <c r="S16" i="5" s="1"/>
  <c r="S15" i="5" a="1"/>
  <c r="S15" i="5" s="1"/>
  <c r="AD13" i="5" a="1"/>
  <c r="AD13" i="5" s="1"/>
  <c r="AC13" i="5" a="1"/>
  <c r="AC13" i="5" s="1"/>
  <c r="AB13" i="5" a="1"/>
  <c r="AB13" i="5" s="1"/>
  <c r="AA13" i="5" a="1"/>
  <c r="AA13" i="5" s="1"/>
  <c r="Z13" i="5" a="1"/>
  <c r="Z13" i="5" s="1"/>
  <c r="Y13" i="5" a="1"/>
  <c r="Y13" i="5" s="1"/>
  <c r="X13" i="5" a="1"/>
  <c r="X13" i="5" s="1"/>
  <c r="W13" i="5" a="1"/>
  <c r="W13" i="5" s="1"/>
  <c r="V13" i="5" a="1"/>
  <c r="V13" i="5" s="1"/>
  <c r="U13" i="5" a="1"/>
  <c r="U13" i="5" s="1"/>
  <c r="T13" i="5" a="1"/>
  <c r="T13" i="5" s="1"/>
  <c r="S13" i="5" a="1"/>
  <c r="S13" i="5" s="1"/>
  <c r="AD14" i="5" a="1"/>
  <c r="AD14" i="5" s="1"/>
  <c r="AC14" i="5" a="1"/>
  <c r="AC14" i="5" s="1"/>
  <c r="AB14" i="5" a="1"/>
  <c r="AB14" i="5" s="1"/>
  <c r="AA14" i="5" a="1"/>
  <c r="AA14" i="5" s="1"/>
  <c r="Z14" i="5" a="1"/>
  <c r="Z14" i="5" s="1"/>
  <c r="Y14" i="5" a="1"/>
  <c r="Y14" i="5" s="1"/>
  <c r="X14" i="5" a="1"/>
  <c r="X14" i="5" s="1"/>
  <c r="W14" i="5" a="1"/>
  <c r="W14" i="5" s="1"/>
  <c r="V14" i="5" a="1"/>
  <c r="V14" i="5" s="1"/>
  <c r="U14" i="5" a="1"/>
  <c r="U14" i="5" s="1"/>
  <c r="T14" i="5" a="1"/>
  <c r="T14" i="5" s="1"/>
  <c r="S14" i="5" a="1"/>
  <c r="S14" i="5" s="1"/>
  <c r="AD15" i="5" a="1"/>
  <c r="AD15" i="5" s="1"/>
  <c r="AC15" i="5" a="1"/>
  <c r="AC15" i="5" s="1"/>
  <c r="AB15" i="5" a="1"/>
  <c r="AB15" i="5" s="1"/>
  <c r="AA15" i="5" a="1"/>
  <c r="AA15" i="5" s="1"/>
  <c r="Z15" i="5" a="1"/>
  <c r="Z15" i="5" s="1"/>
  <c r="Y15" i="5" a="1"/>
  <c r="Y15" i="5" s="1"/>
  <c r="X15" i="5" a="1"/>
  <c r="X15" i="5" s="1"/>
  <c r="W15" i="5" a="1"/>
  <c r="W15" i="5" s="1"/>
  <c r="V15" i="5" a="1"/>
  <c r="V15" i="5" s="1"/>
  <c r="U15" i="5" a="1"/>
  <c r="U15" i="5" s="1"/>
  <c r="T15" i="5" a="1"/>
  <c r="T15" i="5" s="1"/>
  <c r="S17" i="5" a="1"/>
  <c r="S17" i="5" s="1"/>
  <c r="T24" i="5" a="1"/>
  <c r="T24" i="5" s="1"/>
  <c r="U24" i="5" a="1"/>
  <c r="U24" i="5" s="1"/>
  <c r="V24" i="5" a="1"/>
  <c r="V24" i="5" s="1"/>
  <c r="W24" i="5" a="1"/>
  <c r="W24" i="5" s="1"/>
  <c r="X24" i="5" a="1"/>
  <c r="X24" i="5" s="1"/>
  <c r="Y24" i="5" a="1"/>
  <c r="Y24" i="5" s="1"/>
  <c r="Z24" i="5" a="1"/>
  <c r="Z24" i="5" s="1"/>
  <c r="AA24" i="5" a="1"/>
  <c r="AA24" i="5" s="1"/>
  <c r="AB24" i="5" a="1"/>
  <c r="AB24" i="5" s="1"/>
  <c r="AC24" i="5" a="1"/>
  <c r="AC24" i="5" s="1"/>
  <c r="AD24" i="5" a="1"/>
  <c r="AD24" i="5" s="1"/>
  <c r="T23" i="5" a="1"/>
  <c r="T23" i="5" s="1"/>
  <c r="U23" i="5" a="1"/>
  <c r="U23" i="5" s="1"/>
  <c r="V23" i="5" a="1"/>
  <c r="V23" i="5" s="1"/>
  <c r="W23" i="5" a="1"/>
  <c r="W23" i="5" s="1"/>
  <c r="X23" i="5" a="1"/>
  <c r="X23" i="5" s="1"/>
  <c r="Y23" i="5" a="1"/>
  <c r="Y23" i="5" s="1"/>
  <c r="Z23" i="5" a="1"/>
  <c r="Z23" i="5" s="1"/>
  <c r="AA23" i="5" a="1"/>
  <c r="AA23" i="5" s="1"/>
  <c r="AB23" i="5" a="1"/>
  <c r="AB23" i="5" s="1"/>
  <c r="AC23" i="5" a="1"/>
  <c r="AC23" i="5" s="1"/>
  <c r="AD23" i="5" a="1"/>
  <c r="AD23" i="5" s="1"/>
  <c r="T20" i="5" a="1"/>
  <c r="T20" i="5" s="1"/>
  <c r="U20" i="5" a="1"/>
  <c r="U20" i="5" s="1"/>
  <c r="V20" i="5" a="1"/>
  <c r="V20" i="5" s="1"/>
  <c r="W20" i="5" a="1"/>
  <c r="W20" i="5" s="1"/>
  <c r="X20" i="5" a="1"/>
  <c r="X20" i="5" s="1"/>
  <c r="Y20" i="5" a="1"/>
  <c r="Y20" i="5" s="1"/>
  <c r="Z20" i="5" a="1"/>
  <c r="Z20" i="5" s="1"/>
  <c r="AA20" i="5" a="1"/>
  <c r="AA20" i="5" s="1"/>
  <c r="AB20" i="5" a="1"/>
  <c r="AB20" i="5" s="1"/>
  <c r="AC20" i="5" a="1"/>
  <c r="AC20" i="5" s="1"/>
  <c r="AD20" i="5" a="1"/>
  <c r="AD20" i="5" s="1"/>
  <c r="T25" i="5" a="1"/>
  <c r="T25" i="5" s="1"/>
  <c r="U25" i="5" a="1"/>
  <c r="U25" i="5" s="1"/>
  <c r="V25" i="5" a="1"/>
  <c r="V25" i="5" s="1"/>
  <c r="W25" i="5" a="1"/>
  <c r="W25" i="5" s="1"/>
  <c r="X25" i="5" a="1"/>
  <c r="X25" i="5" s="1"/>
  <c r="Y25" i="5" a="1"/>
  <c r="Y25" i="5" s="1"/>
  <c r="Z25" i="5" a="1"/>
  <c r="Z25" i="5" s="1"/>
  <c r="AA25" i="5" a="1"/>
  <c r="AA25" i="5" s="1"/>
  <c r="AB25" i="5" a="1"/>
  <c r="AB25" i="5" s="1"/>
  <c r="AC25" i="5" a="1"/>
  <c r="AC25" i="5" s="1"/>
  <c r="AD25" i="5" a="1"/>
  <c r="AD25" i="5" s="1"/>
  <c r="T22" i="5" a="1"/>
  <c r="T22" i="5" s="1"/>
  <c r="U22" i="5" a="1"/>
  <c r="U22" i="5" s="1"/>
  <c r="V22" i="5" a="1"/>
  <c r="V22" i="5" s="1"/>
  <c r="W22" i="5" a="1"/>
  <c r="W22" i="5" s="1"/>
  <c r="X22" i="5" a="1"/>
  <c r="X22" i="5" s="1"/>
  <c r="Y22" i="5" a="1"/>
  <c r="Y22" i="5" s="1"/>
  <c r="Z22" i="5" a="1"/>
  <c r="Z22" i="5" s="1"/>
  <c r="AA22" i="5" a="1"/>
  <c r="AA22" i="5" s="1"/>
  <c r="AB22" i="5" a="1"/>
  <c r="AB22" i="5" s="1"/>
  <c r="AC22" i="5" a="1"/>
  <c r="AC22" i="5" s="1"/>
  <c r="AD22" i="5" a="1"/>
  <c r="AD22" i="5" s="1"/>
  <c r="AD21" i="5" a="1"/>
  <c r="AD21" i="5" s="1"/>
  <c r="AC21" i="5" a="1"/>
  <c r="AC21" i="5" s="1"/>
  <c r="AB21" i="5" a="1"/>
  <c r="AB21" i="5" s="1"/>
  <c r="AA21" i="5" a="1"/>
  <c r="AA21" i="5" s="1"/>
  <c r="Z21" i="5" a="1"/>
  <c r="Z21" i="5" s="1"/>
  <c r="Y21" i="5" a="1"/>
  <c r="Y21" i="5" s="1"/>
  <c r="X21" i="5" a="1"/>
  <c r="X21" i="5" s="1"/>
  <c r="W21" i="5" a="1"/>
  <c r="W21" i="5" s="1"/>
  <c r="V21" i="5" a="1"/>
  <c r="V21" i="5" s="1"/>
  <c r="U21" i="5" a="1"/>
  <c r="U21" i="5" s="1"/>
  <c r="T21" i="5" a="1"/>
  <c r="T21" i="5" s="1"/>
  <c r="S21" i="5" a="1"/>
  <c r="S21" i="5" s="1"/>
  <c r="S24" i="5" a="1"/>
  <c r="S24" i="5" s="1"/>
  <c r="S23" i="5" a="1"/>
  <c r="S23" i="5" s="1"/>
  <c r="S20" i="5" a="1"/>
  <c r="S20" i="5" s="1"/>
  <c r="S25" i="5" a="1"/>
  <c r="S25" i="5" s="1"/>
  <c r="S22" i="5" a="1"/>
  <c r="S22" i="5" s="1"/>
  <c r="AD30" i="5" a="1"/>
  <c r="AD30" i="5" s="1"/>
  <c r="AC30" i="5" a="1"/>
  <c r="AC30" i="5" s="1"/>
  <c r="AB30" i="5" a="1"/>
  <c r="AB30" i="5" s="1"/>
  <c r="AA30" i="5" a="1"/>
  <c r="AA30" i="5" s="1"/>
  <c r="Z30" i="5" a="1"/>
  <c r="Z30" i="5" s="1"/>
  <c r="Y30" i="5" a="1"/>
  <c r="Y30" i="5" s="1"/>
  <c r="X30" i="5" a="1"/>
  <c r="X30" i="5" s="1"/>
  <c r="W30" i="5" a="1"/>
  <c r="W30" i="5" s="1"/>
  <c r="V30" i="5" a="1"/>
  <c r="V30" i="5" s="1"/>
  <c r="U30" i="5" a="1"/>
  <c r="U30" i="5" s="1"/>
  <c r="T30" i="5" a="1"/>
  <c r="T30" i="5" s="1"/>
  <c r="S30" i="5" a="1"/>
  <c r="S30" i="5" s="1"/>
  <c r="S29" i="5" a="1"/>
  <c r="S29" i="5" s="1"/>
  <c r="AD29" i="5" a="1"/>
  <c r="AD29" i="5" s="1"/>
  <c r="AC29" i="5" a="1"/>
  <c r="AC29" i="5" s="1"/>
  <c r="AB29" i="5" a="1"/>
  <c r="AB29" i="5" s="1"/>
  <c r="AA29" i="5" a="1"/>
  <c r="AA29" i="5" s="1"/>
  <c r="Z29" i="5" a="1"/>
  <c r="Z29" i="5" s="1"/>
  <c r="Y29" i="5" a="1"/>
  <c r="Y29" i="5" s="1"/>
  <c r="X29" i="5" a="1"/>
  <c r="X29" i="5" s="1"/>
  <c r="W29" i="5" a="1"/>
  <c r="W29" i="5" s="1"/>
  <c r="V29" i="5" a="1"/>
  <c r="V29" i="5" s="1"/>
  <c r="U29" i="5" a="1"/>
  <c r="U29" i="5" s="1"/>
  <c r="T29" i="5" a="1"/>
  <c r="T29" i="5" s="1"/>
  <c r="AD17" i="5" a="1"/>
  <c r="AD17" i="5" s="1"/>
  <c r="AC17" i="5" a="1"/>
  <c r="AC17" i="5" s="1"/>
  <c r="AB17" i="5" a="1"/>
  <c r="AB17" i="5" s="1"/>
  <c r="AA17" i="5" a="1"/>
  <c r="AA17" i="5" s="1"/>
  <c r="Z17" i="5" a="1"/>
  <c r="Z17" i="5" s="1"/>
  <c r="Y17" i="5" a="1"/>
  <c r="Y17" i="5" s="1"/>
  <c r="X17" i="5" a="1"/>
  <c r="X17" i="5" s="1"/>
  <c r="W17" i="5" a="1"/>
  <c r="W17" i="5" s="1"/>
  <c r="V17" i="5" a="1"/>
  <c r="V17" i="5" s="1"/>
  <c r="U17" i="5" a="1"/>
  <c r="U17" i="5" s="1"/>
  <c r="T17" i="5" a="1"/>
  <c r="T17" i="5" s="1"/>
  <c r="S3" i="5" a="1"/>
  <c r="S3" i="5" s="1"/>
  <c r="Y2" i="5" a="1"/>
  <c r="Y2" i="5" s="1"/>
  <c r="Z2" i="5" a="1"/>
  <c r="Z2" i="5" s="1"/>
  <c r="AA2" i="5" a="1"/>
  <c r="AA2" i="5" s="1"/>
  <c r="AB2" i="5" a="1"/>
  <c r="AB2" i="5" s="1"/>
  <c r="AC2" i="5" a="1"/>
  <c r="AC2" i="5" s="1"/>
  <c r="AD2" i="5" a="1"/>
  <c r="AD2" i="5" s="1"/>
  <c r="S2" i="5" a="1"/>
  <c r="S2" i="5" s="1"/>
  <c r="AF14" i="5" l="1"/>
  <c r="AF15" i="5"/>
  <c r="AF13" i="5"/>
  <c r="AF16" i="5"/>
  <c r="AF17" i="5"/>
  <c r="AE26" i="5"/>
  <c r="AE29" i="5"/>
  <c r="AE30" i="5"/>
  <c r="AE21" i="5"/>
  <c r="AE25" i="5"/>
  <c r="AE24" i="5"/>
  <c r="AE23" i="5"/>
  <c r="AE22" i="5"/>
  <c r="AE20" i="5"/>
  <c r="U31" i="5"/>
  <c r="AB31" i="5"/>
  <c r="AD31" i="5"/>
  <c r="T31" i="5"/>
  <c r="W31" i="5"/>
  <c r="AA31" i="5"/>
  <c r="Y31" i="5"/>
  <c r="Z31" i="5"/>
  <c r="S31" i="5"/>
  <c r="V31" i="5"/>
  <c r="X31" i="5"/>
  <c r="AC31" i="5"/>
  <c r="S5" i="5" a="1"/>
  <c r="S5" i="5" s="1"/>
  <c r="S9" i="5" s="1"/>
  <c r="AD6" i="5" a="1"/>
  <c r="AD6" i="5" s="1"/>
  <c r="AC6" i="5" a="1"/>
  <c r="AC6" i="5" s="1"/>
  <c r="AB6" i="5" a="1"/>
  <c r="AB6" i="5" s="1"/>
  <c r="AA6" i="5" a="1"/>
  <c r="AA6" i="5" s="1"/>
  <c r="Z6" i="5" a="1"/>
  <c r="Z6" i="5" s="1"/>
  <c r="Y6" i="5" a="1"/>
  <c r="Y6" i="5" s="1"/>
  <c r="X6" i="5" a="1"/>
  <c r="X6" i="5" s="1"/>
  <c r="W6" i="5" a="1"/>
  <c r="W6" i="5" s="1"/>
  <c r="V6" i="5" a="1"/>
  <c r="V6" i="5" s="1"/>
  <c r="U6" i="5" a="1"/>
  <c r="U6" i="5" s="1"/>
  <c r="T6" i="5" a="1"/>
  <c r="T6" i="5" s="1"/>
  <c r="S6" i="5" a="1"/>
  <c r="S6" i="5" s="1"/>
  <c r="AD5" i="5" a="1"/>
  <c r="AD5" i="5" s="1"/>
  <c r="AD9" i="5" s="1"/>
  <c r="AC5" i="5" a="1"/>
  <c r="AC5" i="5" s="1"/>
  <c r="AC9" i="5" s="1"/>
  <c r="AB5" i="5" a="1"/>
  <c r="AB5" i="5" s="1"/>
  <c r="AB9" i="5" s="1"/>
  <c r="AA5" i="5" a="1"/>
  <c r="AA5" i="5" s="1"/>
  <c r="AA9" i="5" s="1"/>
  <c r="Z5" i="5" a="1"/>
  <c r="Z5" i="5" s="1"/>
  <c r="Z9" i="5" s="1"/>
  <c r="Y5" i="5" a="1"/>
  <c r="Y5" i="5" s="1"/>
  <c r="Y9" i="5" s="1"/>
  <c r="W5" i="5" a="1"/>
  <c r="W5" i="5" s="1"/>
  <c r="V5" i="5" a="1"/>
  <c r="V5" i="5" s="1"/>
  <c r="U5" i="5" a="1"/>
  <c r="U5" i="5" s="1"/>
  <c r="T5" i="5" a="1"/>
  <c r="T5" i="5" s="1"/>
  <c r="S4" i="5" a="1"/>
  <c r="S4" i="5" s="1"/>
  <c r="AD4" i="5" a="1"/>
  <c r="AD4" i="5" s="1"/>
  <c r="AC4" i="5" a="1"/>
  <c r="AC4" i="5" s="1"/>
  <c r="AB4" i="5" a="1"/>
  <c r="AB4" i="5" s="1"/>
  <c r="AA4" i="5" a="1"/>
  <c r="AA4" i="5" s="1"/>
  <c r="Z4" i="5" a="1"/>
  <c r="Z4" i="5" s="1"/>
  <c r="Y4" i="5" a="1"/>
  <c r="Y4" i="5" s="1"/>
  <c r="X4" i="5" a="1"/>
  <c r="X4" i="5" s="1"/>
  <c r="W4" i="5" a="1"/>
  <c r="W4" i="5" s="1"/>
  <c r="V4" i="5" a="1"/>
  <c r="V4" i="5" s="1"/>
  <c r="U4" i="5" a="1"/>
  <c r="U4" i="5" s="1"/>
  <c r="T4" i="5" a="1"/>
  <c r="T4" i="5" s="1"/>
  <c r="AD3" i="5" a="1"/>
  <c r="AD3" i="5" s="1"/>
  <c r="AC3" i="5" a="1"/>
  <c r="AC3" i="5" s="1"/>
  <c r="AB3" i="5" a="1"/>
  <c r="AB3" i="5" s="1"/>
  <c r="AA3" i="5" a="1"/>
  <c r="AA3" i="5" s="1"/>
  <c r="Z3" i="5" a="1"/>
  <c r="Z3" i="5" s="1"/>
  <c r="Y3" i="5" a="1"/>
  <c r="Y3" i="5" s="1"/>
  <c r="X3" i="5" a="1"/>
  <c r="X3" i="5" s="1"/>
  <c r="W3" i="5" a="1"/>
  <c r="W3" i="5" s="1"/>
  <c r="V3" i="5" a="1"/>
  <c r="V3" i="5" s="1"/>
  <c r="U3" i="5" a="1"/>
  <c r="U3" i="5" s="1"/>
  <c r="T3" i="5" a="1"/>
  <c r="T3" i="5" s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Z8" i="5" l="1"/>
  <c r="AA8" i="5"/>
  <c r="AB8" i="5"/>
  <c r="AC8" i="5"/>
  <c r="AD8" i="5"/>
  <c r="S8" i="5"/>
  <c r="Y8" i="5"/>
  <c r="AE13" i="5"/>
  <c r="AE14" i="5"/>
  <c r="AE15" i="5"/>
  <c r="AE16" i="5"/>
  <c r="AE31" i="5"/>
  <c r="T2" i="5" a="1"/>
  <c r="T2" i="5" s="1"/>
  <c r="T9" i="5" l="1"/>
  <c r="T8" i="5"/>
  <c r="U2" i="5" a="1"/>
  <c r="U2" i="5" s="1"/>
  <c r="U9" i="5" l="1"/>
  <c r="U8" i="5"/>
  <c r="V2" i="5" a="1"/>
  <c r="V2" i="5" s="1"/>
  <c r="V9" i="5" l="1"/>
  <c r="V8" i="5"/>
  <c r="W2" i="5" a="1"/>
  <c r="W2" i="5" s="1"/>
  <c r="W9" i="5" l="1"/>
  <c r="W8" i="5"/>
  <c r="X2" i="5" a="1"/>
  <c r="X2" i="5" s="1"/>
  <c r="X9" i="5" l="1"/>
  <c r="X8" i="5"/>
  <c r="AE17" i="5"/>
  <c r="S10" i="5" l="1"/>
  <c r="U10" i="5" s="1"/>
  <c r="W10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7431193-9B43-4999-9D92-2A6CA7920D21}" keepAlive="1" name="Query - tblApp" description="Connection to the 'tblApp' query in the workbook." type="5" refreshedVersion="7" background="1" saveData="1">
    <dbPr connection="Provider=Microsoft.Mashup.OleDb.1;Data Source=$Workbook$;Location=tblApp;Extended Properties=&quot;&quot;" command="SELECT * FROM [tblApp]"/>
  </connection>
  <connection id="2" xr16:uid="{A8CD652C-705D-443E-A603-6D2C9A13B199}" keepAlive="1" name="Query - tblCand" description="Connection to the 'tblCand' query in the workbook." type="5" refreshedVersion="7" background="1" saveData="1">
    <dbPr connection="Provider=Microsoft.Mashup.OleDb.1;Data Source=$Workbook$;Location=tblCand;Extended Properties=&quot;&quot;" command="SELECT * FROM [tblCand]"/>
  </connection>
  <connection id="3" xr16:uid="{7FC0094D-1642-4F47-B0CB-5777F6439FF5}" keepAlive="1" name="Query - tblPost" description="Connection to the 'tblPost' query in the workbook." type="5" refreshedVersion="7" background="1" saveData="1">
    <dbPr connection="Provider=Microsoft.Mashup.OleDb.1;Data Source=$Workbook$;Location=tblPost;Extended Properties=&quot;&quot;" command="SELECT * FROM [tblPos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<sst xmlns="http://schemas.openxmlformats.org/spreadsheetml/2006/main" count="18890" uniqueCount="3551">
  <si>
    <t>Graphic Designer &amp; Video Editor</t>
  </si>
  <si>
    <t>Graphic Design</t>
  </si>
  <si>
    <t>Sales &amp; Marketing</t>
  </si>
  <si>
    <t>Bokor Farm</t>
  </si>
  <si>
    <t>Phnom Penh</t>
  </si>
  <si>
    <t>Senior Performance Management Officer</t>
  </si>
  <si>
    <t>Performance Mgt&amp;Culture</t>
  </si>
  <si>
    <t xml:space="preserve">Human Resource </t>
  </si>
  <si>
    <t>Sokimex Investment Group</t>
  </si>
  <si>
    <t>Sales Supervisor</t>
  </si>
  <si>
    <t xml:space="preserve">Sales </t>
  </si>
  <si>
    <t>Project Manager</t>
  </si>
  <si>
    <t>Site Engineering</t>
  </si>
  <si>
    <t>Sokha Real Estate</t>
  </si>
  <si>
    <t>Bokor Mountain</t>
  </si>
  <si>
    <t>L&amp;D Supervisor</t>
  </si>
  <si>
    <t>Learn &amp; Development</t>
  </si>
  <si>
    <t>Group Financial Controller</t>
  </si>
  <si>
    <t>Finance</t>
  </si>
  <si>
    <t>Sokha Hotel</t>
  </si>
  <si>
    <t>Factory Supervisor</t>
  </si>
  <si>
    <t>Production</t>
  </si>
  <si>
    <t>Sales Manager (Gov/Com)</t>
  </si>
  <si>
    <t>Sales Manager (Corp market)</t>
  </si>
  <si>
    <t>Sales Manager (Chinese)</t>
  </si>
  <si>
    <t>Management</t>
  </si>
  <si>
    <t xml:space="preserve">Management </t>
  </si>
  <si>
    <t>Financial Controller</t>
  </si>
  <si>
    <t>Finance Manager</t>
  </si>
  <si>
    <t>Finance Director</t>
  </si>
  <si>
    <t>Farm Manager</t>
  </si>
  <si>
    <t>Farm</t>
  </si>
  <si>
    <t>Sales Representative (Water)</t>
  </si>
  <si>
    <t>Marketing Manager</t>
  </si>
  <si>
    <t>Marketing</t>
  </si>
  <si>
    <t>Deputy Marketing Manager (event)</t>
  </si>
  <si>
    <t>Sales Director</t>
  </si>
  <si>
    <t>sales</t>
  </si>
  <si>
    <t>Secretary to Chairman</t>
  </si>
  <si>
    <t>Executive Secretary Office</t>
  </si>
  <si>
    <t>Trade Marketing Officer</t>
  </si>
  <si>
    <t>Sales Representative (Hydroponic)</t>
  </si>
  <si>
    <t>IT Supervisor</t>
  </si>
  <si>
    <t>IT</t>
  </si>
  <si>
    <t>Deputy IT Manager</t>
  </si>
  <si>
    <t>Senior Accounting Officer</t>
  </si>
  <si>
    <t>Senior Sales Manager</t>
  </si>
  <si>
    <t>Sales</t>
  </si>
  <si>
    <t>Sales Manager (Vietnamese Speaking)</t>
  </si>
  <si>
    <t>Sales Executive</t>
  </si>
  <si>
    <t>Sales After Service Executive</t>
  </si>
  <si>
    <t>Sales Admin Officer/Intern</t>
  </si>
  <si>
    <t>Sales Admin</t>
  </si>
  <si>
    <t>Drone Specialist</t>
  </si>
  <si>
    <t>IT and GPS Controller</t>
  </si>
  <si>
    <t>Driver</t>
  </si>
  <si>
    <t>Office Driving</t>
  </si>
  <si>
    <t>Admin and Accounting Officer</t>
  </si>
  <si>
    <t>Administration</t>
  </si>
  <si>
    <t>Planning Engineer</t>
  </si>
  <si>
    <t>BOQ</t>
  </si>
  <si>
    <t>Construction Planning and QC</t>
  </si>
  <si>
    <t>Account Payable Officer</t>
  </si>
  <si>
    <t>C &amp; B</t>
  </si>
  <si>
    <t>HRBP</t>
  </si>
  <si>
    <t>Sales and Marketing Manager</t>
  </si>
  <si>
    <t>Sales and Marketing</t>
  </si>
  <si>
    <t>Production Manager</t>
  </si>
  <si>
    <t>HR and Admin Manager</t>
  </si>
  <si>
    <t>Senior HR and Admin Officer</t>
  </si>
  <si>
    <t>Project Accounting Officer</t>
  </si>
  <si>
    <t>Project Accounting</t>
  </si>
  <si>
    <t>Architect</t>
  </si>
  <si>
    <t>Engineering</t>
  </si>
  <si>
    <t>Closed</t>
  </si>
  <si>
    <t>Cancelled</t>
  </si>
  <si>
    <t>P0001</t>
  </si>
  <si>
    <t>P0002</t>
  </si>
  <si>
    <t>P0003_1</t>
  </si>
  <si>
    <t>P0003_2</t>
  </si>
  <si>
    <t>P0003_3</t>
  </si>
  <si>
    <t>P0004_1</t>
  </si>
  <si>
    <t>P0004_2</t>
  </si>
  <si>
    <t>P0004_3</t>
  </si>
  <si>
    <t>P0005</t>
  </si>
  <si>
    <t>P0006</t>
  </si>
  <si>
    <t>P0007</t>
  </si>
  <si>
    <t>P0008</t>
  </si>
  <si>
    <t>P0009</t>
  </si>
  <si>
    <t>P0010</t>
  </si>
  <si>
    <t>P0011</t>
  </si>
  <si>
    <t>P0012</t>
  </si>
  <si>
    <t>P0013</t>
  </si>
  <si>
    <t>P0014</t>
  </si>
  <si>
    <t>P0015</t>
  </si>
  <si>
    <t>P0016_1</t>
  </si>
  <si>
    <t>P0016_2</t>
  </si>
  <si>
    <t>P0016_3</t>
  </si>
  <si>
    <t>P0017</t>
  </si>
  <si>
    <t>P0018</t>
  </si>
  <si>
    <t>P0019</t>
  </si>
  <si>
    <t>P0020</t>
  </si>
  <si>
    <t>P0021</t>
  </si>
  <si>
    <t>P0022</t>
  </si>
  <si>
    <t>P0023</t>
  </si>
  <si>
    <t>P0024</t>
  </si>
  <si>
    <t>P0025</t>
  </si>
  <si>
    <t>P0026</t>
  </si>
  <si>
    <t>P0027</t>
  </si>
  <si>
    <t>P0028</t>
  </si>
  <si>
    <t>P0029</t>
  </si>
  <si>
    <t>P0030</t>
  </si>
  <si>
    <t>P0031</t>
  </si>
  <si>
    <t>P0032</t>
  </si>
  <si>
    <t>P0033</t>
  </si>
  <si>
    <t>P0034</t>
  </si>
  <si>
    <t>P0035</t>
  </si>
  <si>
    <t>P0036</t>
  </si>
  <si>
    <t>P0037</t>
  </si>
  <si>
    <t>P0038</t>
  </si>
  <si>
    <t>P0039</t>
  </si>
  <si>
    <t>P0040</t>
  </si>
  <si>
    <t>P0041</t>
  </si>
  <si>
    <t>P0042</t>
  </si>
  <si>
    <t>P0043</t>
  </si>
  <si>
    <t>P0044</t>
  </si>
  <si>
    <t>P0045</t>
  </si>
  <si>
    <t>P0001_1</t>
  </si>
  <si>
    <t>Va Chhunheng</t>
  </si>
  <si>
    <t>Touch Bora</t>
  </si>
  <si>
    <t>Nim Nara</t>
  </si>
  <si>
    <t>Sean Vattanak</t>
  </si>
  <si>
    <t>Phy Sovadhana</t>
  </si>
  <si>
    <t>Leng Vannarith</t>
  </si>
  <si>
    <t>Leng Channy</t>
  </si>
  <si>
    <t>Leng Chanra</t>
  </si>
  <si>
    <t>Fortunato Asma</t>
  </si>
  <si>
    <t>Hour Sreypov</t>
  </si>
  <si>
    <t>But Kakada</t>
  </si>
  <si>
    <t>Hun Sokhim</t>
  </si>
  <si>
    <t>Sut Phalla</t>
  </si>
  <si>
    <t>Chou Chu Meng</t>
  </si>
  <si>
    <t>Choem Bopha</t>
  </si>
  <si>
    <t>Heng Menghour</t>
  </si>
  <si>
    <t>Hong Vichout</t>
  </si>
  <si>
    <t>Long Somethie</t>
  </si>
  <si>
    <t>Korn Tola</t>
  </si>
  <si>
    <t>En Somphin</t>
  </si>
  <si>
    <t>Phan Sonhat</t>
  </si>
  <si>
    <t>Sophany Hong</t>
  </si>
  <si>
    <t>Hin Han</t>
  </si>
  <si>
    <t>Tes Chanpanha</t>
  </si>
  <si>
    <t>Sun Bunny</t>
  </si>
  <si>
    <t>Dav Sotheara</t>
  </si>
  <si>
    <t>Kuoy Sothea</t>
  </si>
  <si>
    <t>Sothy Povpagna</t>
  </si>
  <si>
    <t>Dun Dyna</t>
  </si>
  <si>
    <t>Suy Lin</t>
  </si>
  <si>
    <t>Nun Piseth</t>
  </si>
  <si>
    <t>Chuon Chanthy</t>
  </si>
  <si>
    <t>Bak Heng</t>
  </si>
  <si>
    <t>Moul Ly</t>
  </si>
  <si>
    <t>Ou Sophearos</t>
  </si>
  <si>
    <t>Ly Sokun</t>
  </si>
  <si>
    <t>Hay Chanthy</t>
  </si>
  <si>
    <t>Vat Raty</t>
  </si>
  <si>
    <t>Ngoun Chandy</t>
  </si>
  <si>
    <t>Bun Dorn</t>
  </si>
  <si>
    <t>Ben Sophy</t>
  </si>
  <si>
    <t>Ting Ting Hung</t>
  </si>
  <si>
    <t>Din Savin</t>
  </si>
  <si>
    <t>Pum Savra</t>
  </si>
  <si>
    <t>Heng Angkea</t>
  </si>
  <si>
    <t>Phorn Chanvorak</t>
  </si>
  <si>
    <t>Sou Pheng</t>
  </si>
  <si>
    <t>Chheng Chanty</t>
  </si>
  <si>
    <t>Yin Yorkfi</t>
  </si>
  <si>
    <t>Sok Samnang</t>
  </si>
  <si>
    <t>Keo Sophal</t>
  </si>
  <si>
    <t>Mon Makara</t>
  </si>
  <si>
    <t>Hel Tyhong</t>
  </si>
  <si>
    <t>Hang Sophea</t>
  </si>
  <si>
    <t>Chheang Phea</t>
  </si>
  <si>
    <t>Nan Ravuth</t>
  </si>
  <si>
    <t>Lor Sinh Ing</t>
  </si>
  <si>
    <t>Keo Ra</t>
  </si>
  <si>
    <t>Doem Dar</t>
  </si>
  <si>
    <t>Pheng Sopheak</t>
  </si>
  <si>
    <t>Seng Kosal</t>
  </si>
  <si>
    <t>Touch Sreynich</t>
  </si>
  <si>
    <t>Im Panha</t>
  </si>
  <si>
    <t>Chhet Sophorn</t>
  </si>
  <si>
    <t>Man Sophorn</t>
  </si>
  <si>
    <t>An Horn</t>
  </si>
  <si>
    <t>Phon Oudom</t>
  </si>
  <si>
    <t>Um Chetra</t>
  </si>
  <si>
    <t>Pich Moniroth</t>
  </si>
  <si>
    <t>Ya Pisey</t>
  </si>
  <si>
    <t>Thai Vannda</t>
  </si>
  <si>
    <t>Chea Sokreaksmey</t>
  </si>
  <si>
    <t>Lanh Chivorn</t>
  </si>
  <si>
    <t>Yuok Linda</t>
  </si>
  <si>
    <t>Yorn Sovanratha</t>
  </si>
  <si>
    <t>Toem Vath</t>
  </si>
  <si>
    <t>An Sum Srun</t>
  </si>
  <si>
    <t>Nhet Thy</t>
  </si>
  <si>
    <t>Uk Samrach</t>
  </si>
  <si>
    <t>Keo Sochhaka</t>
  </si>
  <si>
    <t>Pol Pichchantha</t>
  </si>
  <si>
    <t>Soeurn Sith</t>
  </si>
  <si>
    <t>Thong Sophea</t>
  </si>
  <si>
    <t>Toun Lypook</t>
  </si>
  <si>
    <t>Suy Chanry</t>
  </si>
  <si>
    <t>Muth Yada</t>
  </si>
  <si>
    <t>Chea Sopheap</t>
  </si>
  <si>
    <t>Chum Veasna</t>
  </si>
  <si>
    <t>Nhen Thy</t>
  </si>
  <si>
    <t>Theng Chanthy</t>
  </si>
  <si>
    <t>Raksmey Dina</t>
  </si>
  <si>
    <t>Vay Kakada</t>
  </si>
  <si>
    <t>Chheak Machhem</t>
  </si>
  <si>
    <t>Sam Chanthou</t>
  </si>
  <si>
    <t>Suo Dara</t>
  </si>
  <si>
    <t>Phai Sreyrath</t>
  </si>
  <si>
    <t>Sor Phannith</t>
  </si>
  <si>
    <t>Reth Meta</t>
  </si>
  <si>
    <t>Richard Vinda</t>
  </si>
  <si>
    <t>Mut Bondith</t>
  </si>
  <si>
    <t>Keo Channita</t>
  </si>
  <si>
    <t>Hor Pichit</t>
  </si>
  <si>
    <t>Ly Tong Pheng</t>
  </si>
  <si>
    <t>Hong Sovanratanak</t>
  </si>
  <si>
    <t>Sieng Vireak</t>
  </si>
  <si>
    <t>Kong Khan</t>
  </si>
  <si>
    <t>Hun Sereyvichera</t>
  </si>
  <si>
    <t>Huong Yekseang</t>
  </si>
  <si>
    <t>Soeur Piseth</t>
  </si>
  <si>
    <t>Horng Chamroeun</t>
  </si>
  <si>
    <t>Kong Sotha</t>
  </si>
  <si>
    <t>Chhour Dany</t>
  </si>
  <si>
    <t>Ry Lyuoy</t>
  </si>
  <si>
    <t>Sok Khav</t>
  </si>
  <si>
    <t>Chanlyta Choun</t>
  </si>
  <si>
    <t>Chan Pichet</t>
  </si>
  <si>
    <t>Am Channi</t>
  </si>
  <si>
    <t>Sopheak (Max)</t>
  </si>
  <si>
    <t>Bre Chinet</t>
  </si>
  <si>
    <t>Ma Daravuth</t>
  </si>
  <si>
    <t>Hy Tim</t>
  </si>
  <si>
    <t>San Sokal</t>
  </si>
  <si>
    <t>Trok Sen</t>
  </si>
  <si>
    <t>Bun Pheang</t>
  </si>
  <si>
    <t>Um Ryza</t>
  </si>
  <si>
    <t>Pich Muny</t>
  </si>
  <si>
    <t>Bun Sro</t>
  </si>
  <si>
    <t>Din Vandet</t>
  </si>
  <si>
    <t>Chiv Sochea</t>
  </si>
  <si>
    <t>Pov Lyheng</t>
  </si>
  <si>
    <t>Chhean Chanraksmey</t>
  </si>
  <si>
    <t>Chea Sovantothmanin</t>
  </si>
  <si>
    <t>Chea Khanny</t>
  </si>
  <si>
    <t>Meas Ratanak</t>
  </si>
  <si>
    <t>Yim Mearady</t>
  </si>
  <si>
    <t>Yem Stangda</t>
  </si>
  <si>
    <t>Tok Veasna</t>
  </si>
  <si>
    <t>Seyha Chetha Kevin</t>
  </si>
  <si>
    <t>Liv Chanmali</t>
  </si>
  <si>
    <t>Ven Veng</t>
  </si>
  <si>
    <t>Choeung Mach</t>
  </si>
  <si>
    <t>Saman Norithya</t>
  </si>
  <si>
    <t>Pen Sreyleang</t>
  </si>
  <si>
    <t>Chong Liza</t>
  </si>
  <si>
    <t>Leng Sekrey</t>
  </si>
  <si>
    <t>Leng Kanha</t>
  </si>
  <si>
    <t>Lap Rathanaksophea</t>
  </si>
  <si>
    <t>Oeun Sreynat</t>
  </si>
  <si>
    <t>Chhel Leak</t>
  </si>
  <si>
    <t>Chea Theta</t>
  </si>
  <si>
    <t>Or Vandy</t>
  </si>
  <si>
    <t>Pal Sopheaktra</t>
  </si>
  <si>
    <t>Chan Mithona</t>
  </si>
  <si>
    <t>Tha Nikasensros</t>
  </si>
  <si>
    <t>Ham Huynith</t>
  </si>
  <si>
    <t>Chhun Mardy</t>
  </si>
  <si>
    <t>Mot Menghouy</t>
  </si>
  <si>
    <t>To Lalin</t>
  </si>
  <si>
    <t>Huot Bory</t>
  </si>
  <si>
    <t>Kim Bunleap</t>
  </si>
  <si>
    <t>Phat Lyhong</t>
  </si>
  <si>
    <t>Pok Akara</t>
  </si>
  <si>
    <t>Phoeurn Tola</t>
  </si>
  <si>
    <t>Yean Sokheang</t>
  </si>
  <si>
    <t>Chhil Chanthou</t>
  </si>
  <si>
    <t>Sun Vansot</t>
  </si>
  <si>
    <t>Kong Sotheany</t>
  </si>
  <si>
    <t>Yann Thida</t>
  </si>
  <si>
    <t>Nhip Daet</t>
  </si>
  <si>
    <t>Amnath Thida</t>
  </si>
  <si>
    <t>Hong Ang</t>
  </si>
  <si>
    <t>Seang Mary</t>
  </si>
  <si>
    <t>Ngon Nareth</t>
  </si>
  <si>
    <t>Hun Serey</t>
  </si>
  <si>
    <t>You Yeklorng</t>
  </si>
  <si>
    <t>Uk Savry</t>
  </si>
  <si>
    <t>Cheang Neang</t>
  </si>
  <si>
    <t>Khiev Sokhawatey</t>
  </si>
  <si>
    <t>San Vannara</t>
  </si>
  <si>
    <t>Sri Ayyappa</t>
  </si>
  <si>
    <t>Nov Noeun</t>
  </si>
  <si>
    <t>Chin Nara</t>
  </si>
  <si>
    <t>Sim Buna</t>
  </si>
  <si>
    <t>Mut Sarik</t>
  </si>
  <si>
    <t>Leng Channan</t>
  </si>
  <si>
    <t>Khleoung Moniroth</t>
  </si>
  <si>
    <t>Pon Maneth</t>
  </si>
  <si>
    <t>Nhean Sokpov</t>
  </si>
  <si>
    <t>Sreng Lin</t>
  </si>
  <si>
    <t>Khuon Mothary</t>
  </si>
  <si>
    <t>San Vichet</t>
  </si>
  <si>
    <t>Math Sary</t>
  </si>
  <si>
    <t>Yuy Vanra</t>
  </si>
  <si>
    <t>Yin Sam At</t>
  </si>
  <si>
    <t>Then Thavlin</t>
  </si>
  <si>
    <t>Pek Chanthorn</t>
  </si>
  <si>
    <t>Koeng Chantha</t>
  </si>
  <si>
    <t>Nao Neng</t>
  </si>
  <si>
    <t>Raktanak Kakkakda</t>
  </si>
  <si>
    <t>Soy Sreyvan</t>
  </si>
  <si>
    <t>Lat Sreyleak</t>
  </si>
  <si>
    <t>Hun Sreyneth</t>
  </si>
  <si>
    <t>Thach Chantara</t>
  </si>
  <si>
    <t>Ma Pachako Mongkuol</t>
  </si>
  <si>
    <t>Men Podalo</t>
  </si>
  <si>
    <t>Svay Socheat</t>
  </si>
  <si>
    <t>Roeurng Chetra</t>
  </si>
  <si>
    <t>Chamnan Chamnab</t>
  </si>
  <si>
    <t>Teom Sokunthy</t>
  </si>
  <si>
    <t>Loem Soklek</t>
  </si>
  <si>
    <t>Sok Chamreunkoy</t>
  </si>
  <si>
    <t>Sroy Chamnan</t>
  </si>
  <si>
    <t>Moeurn Rany</t>
  </si>
  <si>
    <t>Muth Sarik</t>
  </si>
  <si>
    <t>Un Sengleang</t>
  </si>
  <si>
    <t>Hor Lyno</t>
  </si>
  <si>
    <t>Hou Sreypov</t>
  </si>
  <si>
    <t>Uk Sokun</t>
  </si>
  <si>
    <t>Rith Punleu</t>
  </si>
  <si>
    <t>Tith Sambo</t>
  </si>
  <si>
    <t>Phoeurn Vichheka</t>
  </si>
  <si>
    <t>Lek Tey</t>
  </si>
  <si>
    <t>Pho Kunthy</t>
  </si>
  <si>
    <t>Ieng Rathsomsak</t>
  </si>
  <si>
    <t>Siem Sinoun</t>
  </si>
  <si>
    <t>Teng Sakada</t>
  </si>
  <si>
    <t>Sary Mongkol</t>
  </si>
  <si>
    <t>Sea Sothea</t>
  </si>
  <si>
    <t>Lenh Phary</t>
  </si>
  <si>
    <t>Korn Laosear</t>
  </si>
  <si>
    <t>Bun Sarat</t>
  </si>
  <si>
    <t>Nil Dinna</t>
  </si>
  <si>
    <t>Nuon Borei</t>
  </si>
  <si>
    <t>Bou Panha</t>
  </si>
  <si>
    <t>John Son Dara</t>
  </si>
  <si>
    <t>Nget Sambo</t>
  </si>
  <si>
    <t>Hai Sophea</t>
  </si>
  <si>
    <t>Eam Limsrun</t>
  </si>
  <si>
    <t>Nuth Pumphano</t>
  </si>
  <si>
    <t>Phlong Kanika</t>
  </si>
  <si>
    <t>Oum Sereywath</t>
  </si>
  <si>
    <t>Shol Srey Neat</t>
  </si>
  <si>
    <t>Sourn Narat</t>
  </si>
  <si>
    <t>Liv Chhaya</t>
  </si>
  <si>
    <t>Suong Savisna</t>
  </si>
  <si>
    <t>Vorn Saravuth</t>
  </si>
  <si>
    <t>Sarat Piya</t>
  </si>
  <si>
    <t>Kit Paly</t>
  </si>
  <si>
    <t>Sar Sopheap</t>
  </si>
  <si>
    <t>Nheb Sreynech</t>
  </si>
  <si>
    <t>Pak Paytou</t>
  </si>
  <si>
    <t>Rin Sane</t>
  </si>
  <si>
    <t>Kit Singhouyling</t>
  </si>
  <si>
    <t>Khorn Toy</t>
  </si>
  <si>
    <t>Ul Vibol</t>
  </si>
  <si>
    <t>Vong Sorphonpheaktra</t>
  </si>
  <si>
    <t>Torn Jyphinh</t>
  </si>
  <si>
    <t>Chreng Dyna</t>
  </si>
  <si>
    <t>Sok Sovatha</t>
  </si>
  <si>
    <t>Peang Syseleap</t>
  </si>
  <si>
    <t>Suon Dara</t>
  </si>
  <si>
    <t>Khung Sokheng</t>
  </si>
  <si>
    <t>San Sovandara</t>
  </si>
  <si>
    <t>Suon Dar</t>
  </si>
  <si>
    <t>Soeurn Soytry</t>
  </si>
  <si>
    <t>Chuob Cheatra</t>
  </si>
  <si>
    <t>Chien Socheat</t>
  </si>
  <si>
    <t>Chea Sok Heng</t>
  </si>
  <si>
    <t>San Shang</t>
  </si>
  <si>
    <t>Chheang Sothai</t>
  </si>
  <si>
    <t>Huy Kemratha</t>
  </si>
  <si>
    <t>Sok Chhai</t>
  </si>
  <si>
    <t>Chan Sothaly</t>
  </si>
  <si>
    <t>Kaing Teangka</t>
  </si>
  <si>
    <t>Khun Vuchheng</t>
  </si>
  <si>
    <t>Thy Tith</t>
  </si>
  <si>
    <t>Chen Samnang</t>
  </si>
  <si>
    <t>Nget Kao</t>
  </si>
  <si>
    <t>Ol Votey</t>
  </si>
  <si>
    <t>Chey Kanharath</t>
  </si>
  <si>
    <t>Heng Daravuth</t>
  </si>
  <si>
    <t>Mey Samedy</t>
  </si>
  <si>
    <t>Sim Vicheka</t>
  </si>
  <si>
    <t>Theng Kimly</t>
  </si>
  <si>
    <t>Hong Senghout</t>
  </si>
  <si>
    <t>Bun Chheang</t>
  </si>
  <si>
    <t>Sreng Borey</t>
  </si>
  <si>
    <t>Ban Henglean</t>
  </si>
  <si>
    <t>Hor Barang</t>
  </si>
  <si>
    <t>Hoy Nim</t>
  </si>
  <si>
    <t>Kem Neang</t>
  </si>
  <si>
    <t>Say Sopheap</t>
  </si>
  <si>
    <t>Son Sovanpor</t>
  </si>
  <si>
    <t>Rot Sothea</t>
  </si>
  <si>
    <t>Thanara Devid</t>
  </si>
  <si>
    <t>Em Sovannaroth</t>
  </si>
  <si>
    <t>Mann Punluepich</t>
  </si>
  <si>
    <t>Rich Bora</t>
  </si>
  <si>
    <t>Mom Vanna</t>
  </si>
  <si>
    <t>Tan Thearin</t>
  </si>
  <si>
    <t>Yem Chetra</t>
  </si>
  <si>
    <t>Nov Sokkon</t>
  </si>
  <si>
    <t>Sam Ponleu</t>
  </si>
  <si>
    <t>Chen Thida</t>
  </si>
  <si>
    <t>Yon Sokren</t>
  </si>
  <si>
    <t>Ngin Pheakdey</t>
  </si>
  <si>
    <t>Nav Pourtchhorpornraingsey</t>
  </si>
  <si>
    <t>Sok Touch</t>
  </si>
  <si>
    <t>Tep Sopheap</t>
  </si>
  <si>
    <t>Yoeung Yuthy</t>
  </si>
  <si>
    <t>Yem Seyha</t>
  </si>
  <si>
    <t>Khon Sokseyha</t>
  </si>
  <si>
    <t>Khou Sophea</t>
  </si>
  <si>
    <t>Chann Lyheng</t>
  </si>
  <si>
    <t>Khou Suyhong</t>
  </si>
  <si>
    <t>Hem Wat</t>
  </si>
  <si>
    <t>Keo David</t>
  </si>
  <si>
    <t>Chay Phally</t>
  </si>
  <si>
    <t>Hong Lihor</t>
  </si>
  <si>
    <t>Hor Chanthou</t>
  </si>
  <si>
    <t>Khoung Hokly</t>
  </si>
  <si>
    <t>Khuth Dolar</t>
  </si>
  <si>
    <t>Ra Davy</t>
  </si>
  <si>
    <t>Sambath Phanny</t>
  </si>
  <si>
    <t>Sros Siminea</t>
  </si>
  <si>
    <t>Thai Bon</t>
  </si>
  <si>
    <t>Va Soknea</t>
  </si>
  <si>
    <t>You Sunleng</t>
  </si>
  <si>
    <t>Meas Vannarith</t>
  </si>
  <si>
    <t>Rem Samral</t>
  </si>
  <si>
    <t>Tim Sochea</t>
  </si>
  <si>
    <t>Doung Rithy</t>
  </si>
  <si>
    <t>Luy Lavy</t>
  </si>
  <si>
    <t>Mot Bola</t>
  </si>
  <si>
    <t>En Vireak</t>
  </si>
  <si>
    <t>Sin Thary</t>
  </si>
  <si>
    <t>Sorn Darith</t>
  </si>
  <si>
    <t>Nharak Sovann</t>
  </si>
  <si>
    <t>Pao Danou</t>
  </si>
  <si>
    <t>Pen Lychanbondith</t>
  </si>
  <si>
    <t>Khem Bunthai</t>
  </si>
  <si>
    <t>San Raysun</t>
  </si>
  <si>
    <t>Sen Sreylek</t>
  </si>
  <si>
    <t>Say Kumpheak</t>
  </si>
  <si>
    <t>Kun Pheakkdey</t>
  </si>
  <si>
    <t>Srun Vantha</t>
  </si>
  <si>
    <t>Yem Sophann</t>
  </si>
  <si>
    <t>Seng Phearun</t>
  </si>
  <si>
    <t>Tha Rity</t>
  </si>
  <si>
    <t>Him Rasmey</t>
  </si>
  <si>
    <t>Khoeun Chanrem</t>
  </si>
  <si>
    <t>Kim Sothy</t>
  </si>
  <si>
    <t>Phon Buntheng</t>
  </si>
  <si>
    <t>Yay Chanthearo</t>
  </si>
  <si>
    <t>Pom Rathakun</t>
  </si>
  <si>
    <t>Say Pisey</t>
  </si>
  <si>
    <t>Chhuor Kanhchakna</t>
  </si>
  <si>
    <t>Ith Sihour</t>
  </si>
  <si>
    <t>Lang Chanlim</t>
  </si>
  <si>
    <t>Sim Kimheng</t>
  </si>
  <si>
    <t>Pho Phearack</t>
  </si>
  <si>
    <t>Khorn Sithon</t>
  </si>
  <si>
    <t>Long Sokun</t>
  </si>
  <si>
    <t>Nov Kosal</t>
  </si>
  <si>
    <t>Krean Sochek</t>
  </si>
  <si>
    <t>Les Ry</t>
  </si>
  <si>
    <t>Meas Vannak</t>
  </si>
  <si>
    <t>Neav Hell</t>
  </si>
  <si>
    <t>Oum Proum</t>
  </si>
  <si>
    <t>Seng Thoeun</t>
  </si>
  <si>
    <t>Yin Kokcheng</t>
  </si>
  <si>
    <t>Soem Bopha</t>
  </si>
  <si>
    <t>Chan Pherun</t>
  </si>
  <si>
    <t>Choun Sokha</t>
  </si>
  <si>
    <t>Him Serey</t>
  </si>
  <si>
    <t>Khuon Sopheak</t>
  </si>
  <si>
    <t>Long Veasna</t>
  </si>
  <si>
    <t>Neo Soknet</t>
  </si>
  <si>
    <t>So Sothea</t>
  </si>
  <si>
    <t>Sor Phamnith</t>
  </si>
  <si>
    <t>Sret Menghout</t>
  </si>
  <si>
    <t>Tiev Sokleng</t>
  </si>
  <si>
    <t>Uon Johnbora</t>
  </si>
  <si>
    <t>Sokhom Daroth</t>
  </si>
  <si>
    <t>Chan Raksmey</t>
  </si>
  <si>
    <t>Thlang Rathy</t>
  </si>
  <si>
    <t>Leang Kimlonn</t>
  </si>
  <si>
    <t>Romdoul Sovan</t>
  </si>
  <si>
    <t>Som Ratana</t>
  </si>
  <si>
    <t>Thorn Sreyneth</t>
  </si>
  <si>
    <t>El Roisat</t>
  </si>
  <si>
    <t>Khet Khon</t>
  </si>
  <si>
    <t>Vannak Vannareth</t>
  </si>
  <si>
    <t>Keo Raksmey</t>
  </si>
  <si>
    <t>Mao Phanara</t>
  </si>
  <si>
    <t>But Eavleang</t>
  </si>
  <si>
    <t>Proet Hoeurm</t>
  </si>
  <si>
    <t>Samoerun Sambath</t>
  </si>
  <si>
    <t>Hong Sotheary</t>
  </si>
  <si>
    <t>So Heng</t>
  </si>
  <si>
    <t>Vitae Saroeun</t>
  </si>
  <si>
    <t>Khun Sokhang</t>
  </si>
  <si>
    <t>Chun Brotib</t>
  </si>
  <si>
    <t>Chhun Maden</t>
  </si>
  <si>
    <t>Phorn Rasmey</t>
  </si>
  <si>
    <t>Bo Sombun</t>
  </si>
  <si>
    <t>Chea Sreynuth</t>
  </si>
  <si>
    <t>Chheng Reaksmeysreypich</t>
  </si>
  <si>
    <t>Horn Rotha</t>
  </si>
  <si>
    <t>Ouk Chanrany</t>
  </si>
  <si>
    <t>Mao Sokrey</t>
  </si>
  <si>
    <t>Nong Dina</t>
  </si>
  <si>
    <t>Mourn Thet</t>
  </si>
  <si>
    <t>Oum Chann Davy</t>
  </si>
  <si>
    <t>Choun Phanith</t>
  </si>
  <si>
    <t>Sim Phok</t>
  </si>
  <si>
    <t>Uk Pitou</t>
  </si>
  <si>
    <t>Chhat Kanha</t>
  </si>
  <si>
    <t>Horm Keosereyroath</t>
  </si>
  <si>
    <t>Ros Chanphanin</t>
  </si>
  <si>
    <t>Chuon Punlok</t>
  </si>
  <si>
    <t>To Visal</t>
  </si>
  <si>
    <t>Cheam Sokpheng</t>
  </si>
  <si>
    <t>Khann Sarith</t>
  </si>
  <si>
    <t>Yim Sreypov</t>
  </si>
  <si>
    <t>Oeun Thida</t>
  </si>
  <si>
    <t>Suon Srey Neth</t>
  </si>
  <si>
    <t>Yoeung Panha</t>
  </si>
  <si>
    <t>Chhen Sidet</t>
  </si>
  <si>
    <t>Ly Sokhour</t>
  </si>
  <si>
    <t>Sao Bony</t>
  </si>
  <si>
    <t>Ay Saeam</t>
  </si>
  <si>
    <t>Bout Borith</t>
  </si>
  <si>
    <t>Chea Saramono</t>
  </si>
  <si>
    <t>Chhaileap Sievmey</t>
  </si>
  <si>
    <t>Em Vannak</t>
  </si>
  <si>
    <t>Norm Vidun</t>
  </si>
  <si>
    <t>Suy Phally</t>
  </si>
  <si>
    <t>Rin Dara</t>
  </si>
  <si>
    <t>Sok Udom</t>
  </si>
  <si>
    <t>Ty Hengleng</t>
  </si>
  <si>
    <t>Chhoch Sreyleak</t>
  </si>
  <si>
    <t>Chom Chenda</t>
  </si>
  <si>
    <t>Kim Sokonthea</t>
  </si>
  <si>
    <t>Sou Sreyoun</t>
  </si>
  <si>
    <t>Rean Monyroth</t>
  </si>
  <si>
    <t>Tong Sok Hour</t>
  </si>
  <si>
    <t>Eng Sophorn</t>
  </si>
  <si>
    <t>Phoung Sokchea</t>
  </si>
  <si>
    <t>Maat Kafa</t>
  </si>
  <si>
    <t>Pil Vichet</t>
  </si>
  <si>
    <t>Kov Sarom</t>
  </si>
  <si>
    <t>Duk Sophanna</t>
  </si>
  <si>
    <t>Sim Chheko</t>
  </si>
  <si>
    <t>Koeun Saratt</t>
  </si>
  <si>
    <t>Vong Veasna</t>
  </si>
  <si>
    <t>Angkea Ra</t>
  </si>
  <si>
    <t>Oy Raksa</t>
  </si>
  <si>
    <t>Thou Sothea</t>
  </si>
  <si>
    <t>Hor Chen</t>
  </si>
  <si>
    <t>Orm Samrech</t>
  </si>
  <si>
    <t>Yong Veasna</t>
  </si>
  <si>
    <t>Phal Tivoine</t>
  </si>
  <si>
    <t>Chhun Sophanarong</t>
  </si>
  <si>
    <t>015 770 205</t>
  </si>
  <si>
    <t>012 979 898/ 016 275 666</t>
  </si>
  <si>
    <t>087 594 400</t>
  </si>
  <si>
    <t>017 944 899</t>
  </si>
  <si>
    <t>017 677 785</t>
  </si>
  <si>
    <t>087 777 560</t>
  </si>
  <si>
    <t>070 698 699</t>
  </si>
  <si>
    <t>087 265 555/ 012 936 816</t>
  </si>
  <si>
    <t>098 91 96 88</t>
  </si>
  <si>
    <t>085 31 31 32/ 016 52 22 32</t>
  </si>
  <si>
    <t>016 670 514</t>
  </si>
  <si>
    <t xml:space="preserve">087 638 916/ 011 380 543 </t>
  </si>
  <si>
    <t>015 719 536</t>
  </si>
  <si>
    <t>093 882 498</t>
  </si>
  <si>
    <t>098 400 745/ 017 584 843</t>
  </si>
  <si>
    <t>070 745 559</t>
  </si>
  <si>
    <t>016 739 990/ 085 682 835</t>
  </si>
  <si>
    <t>071 69 08 716/ 010 335 917</t>
  </si>
  <si>
    <t>088 444 5444</t>
  </si>
  <si>
    <t>086 843 707</t>
  </si>
  <si>
    <t>017 40 69 69</t>
  </si>
  <si>
    <t>096 981 7068</t>
  </si>
  <si>
    <t>010 970 226</t>
  </si>
  <si>
    <t>010 323 076</t>
  </si>
  <si>
    <t>015 838 176</t>
  </si>
  <si>
    <t>010 379 823</t>
  </si>
  <si>
    <t>077 457750</t>
  </si>
  <si>
    <t>069 527 779</t>
  </si>
  <si>
    <t>015 952 500</t>
  </si>
  <si>
    <t>077 951 554/ 016 432 106</t>
  </si>
  <si>
    <t>097 858 9886/ 070 535 166</t>
  </si>
  <si>
    <t>095 822 2221</t>
  </si>
  <si>
    <t>010 241 040</t>
  </si>
  <si>
    <t>095 558 808</t>
  </si>
  <si>
    <t>070 692 621</t>
  </si>
  <si>
    <t>017 994 440/ 098 994 440</t>
  </si>
  <si>
    <t>087 445 445</t>
  </si>
  <si>
    <t>086 243 187</t>
  </si>
  <si>
    <t>078 222 035</t>
  </si>
  <si>
    <t xml:space="preserve">093 472 150 </t>
  </si>
  <si>
    <t>092 969 937</t>
  </si>
  <si>
    <t>097 722 2722/017 770 701</t>
  </si>
  <si>
    <t>097 712 6918</t>
  </si>
  <si>
    <t>086 433 277</t>
  </si>
  <si>
    <t>093 370 536</t>
  </si>
  <si>
    <t>093 393 593</t>
  </si>
  <si>
    <t>010 678 675/078 669 604</t>
  </si>
  <si>
    <t>010 676 780</t>
  </si>
  <si>
    <t>093 414 176</t>
  </si>
  <si>
    <t>012 777 438</t>
  </si>
  <si>
    <t>071 629 1153</t>
  </si>
  <si>
    <t>011 266 601/069 695 665</t>
  </si>
  <si>
    <t>089 818 918</t>
  </si>
  <si>
    <t>071 993 3999</t>
  </si>
  <si>
    <t>086 784 678</t>
  </si>
  <si>
    <t>071 203 0509</t>
  </si>
  <si>
    <t>096 309 2305</t>
  </si>
  <si>
    <t>085 793 487</t>
  </si>
  <si>
    <t>096 990 6617</t>
  </si>
  <si>
    <t>092 939 262</t>
  </si>
  <si>
    <t>093 939 096/ 089 811 145</t>
  </si>
  <si>
    <t>096 990 6716</t>
  </si>
  <si>
    <t>070 893 121</t>
  </si>
  <si>
    <t>096 286 2708</t>
  </si>
  <si>
    <t>010 232 506</t>
  </si>
  <si>
    <t>012 398 669/ 016 765 700</t>
  </si>
  <si>
    <t>017 334 626</t>
  </si>
  <si>
    <t>010 438 023/ 012 377 671</t>
  </si>
  <si>
    <t>096 744 8808/ 061 448 808</t>
  </si>
  <si>
    <t>070 666 546</t>
  </si>
  <si>
    <t>012 577 475/ 016 887 881</t>
  </si>
  <si>
    <t>060 476 711</t>
  </si>
  <si>
    <t>012 267 739</t>
  </si>
  <si>
    <t>087 252 577</t>
  </si>
  <si>
    <t>077 203 736</t>
  </si>
  <si>
    <t>015 631 056/ 011 799 037</t>
  </si>
  <si>
    <t>015 956 225</t>
  </si>
  <si>
    <t>092 934 366</t>
  </si>
  <si>
    <t>078 775 277/ 093 775 277</t>
  </si>
  <si>
    <t>012 72 30 34</t>
  </si>
  <si>
    <t>098 746 178</t>
  </si>
  <si>
    <t>088 539 5863</t>
  </si>
  <si>
    <t>093 819 099</t>
  </si>
  <si>
    <t>010 959 976</t>
  </si>
  <si>
    <t>088 563 6386</t>
  </si>
  <si>
    <t>069 933 229</t>
  </si>
  <si>
    <t>096 983 633 4</t>
  </si>
  <si>
    <t>016 261 053</t>
  </si>
  <si>
    <t>081 488 810</t>
  </si>
  <si>
    <t>085 536 343</t>
  </si>
  <si>
    <t>096 5857 911</t>
  </si>
  <si>
    <t>088 538 5306</t>
  </si>
  <si>
    <t>077 485 851</t>
  </si>
  <si>
    <t>081 328 265</t>
  </si>
  <si>
    <t>088 776 3299</t>
  </si>
  <si>
    <t>070 504 151</t>
  </si>
  <si>
    <t>088 499 9609</t>
  </si>
  <si>
    <t>012 959 995/ 010 959 976</t>
  </si>
  <si>
    <t>011 335 388</t>
  </si>
  <si>
    <t>015 236 998/ 012 294 938</t>
  </si>
  <si>
    <t>010 900 210</t>
  </si>
  <si>
    <t>010 396 968</t>
  </si>
  <si>
    <t>078 997 702</t>
  </si>
  <si>
    <t>010 919 605</t>
  </si>
  <si>
    <t>077 343 258</t>
  </si>
  <si>
    <t>099 661 316/ 098 309 491</t>
  </si>
  <si>
    <t>096 3919567</t>
  </si>
  <si>
    <t>096 548 5706</t>
  </si>
  <si>
    <t>015 644 427</t>
  </si>
  <si>
    <t>092 336 466</t>
  </si>
  <si>
    <t>078 999 311</t>
  </si>
  <si>
    <t>088 4999 609</t>
  </si>
  <si>
    <t>N/A</t>
  </si>
  <si>
    <t>095 761 521</t>
  </si>
  <si>
    <t>069 828 366</t>
  </si>
  <si>
    <t>070 323 878</t>
  </si>
  <si>
    <t>010 925 445</t>
  </si>
  <si>
    <t>096 398 3775/ 061 662 373</t>
  </si>
  <si>
    <t>959 448 312 181</t>
  </si>
  <si>
    <t>017 683 685</t>
  </si>
  <si>
    <t>099 747 402</t>
  </si>
  <si>
    <t>098 626 456/ 012 428 244</t>
  </si>
  <si>
    <t>010 920 999 /089 73 5551</t>
  </si>
  <si>
    <t>012 905 007</t>
  </si>
  <si>
    <t>069 955 552</t>
  </si>
  <si>
    <t>017 718 882</t>
  </si>
  <si>
    <t>096 666 8888</t>
  </si>
  <si>
    <t>077 219 432/ 087 610 436</t>
  </si>
  <si>
    <t>096 292 5647</t>
  </si>
  <si>
    <t>096 266 48 39</t>
  </si>
  <si>
    <t>017 776 072/ 015 776 072</t>
  </si>
  <si>
    <t>089 697 967</t>
  </si>
  <si>
    <t>012 375 675/ 010 370 168</t>
  </si>
  <si>
    <t>015 647 647</t>
  </si>
  <si>
    <t>078 356 204</t>
  </si>
  <si>
    <t>098 373 301</t>
  </si>
  <si>
    <t>012 833 308/ 087 777 091</t>
  </si>
  <si>
    <t>087 573 458</t>
  </si>
  <si>
    <t>097 42 65 739</t>
  </si>
  <si>
    <t>098 978 709/ 012 783 409</t>
  </si>
  <si>
    <t>017 778 644</t>
  </si>
  <si>
    <t>010 888 829</t>
  </si>
  <si>
    <t>081 97 98 77</t>
  </si>
  <si>
    <t>076 250 568 5/ 093 762 976</t>
  </si>
  <si>
    <t>077 225 169</t>
  </si>
  <si>
    <t>098 316 688</t>
  </si>
  <si>
    <t>068 885 918</t>
  </si>
  <si>
    <t>093 756 177 / 012 970 318</t>
  </si>
  <si>
    <t>010 243 977</t>
  </si>
  <si>
    <t>011 384 465/ 096 989 8934</t>
  </si>
  <si>
    <t>010 799 722</t>
  </si>
  <si>
    <t>010 535 852</t>
  </si>
  <si>
    <t>016 267 168/ 012 302 584</t>
  </si>
  <si>
    <t>067 99999 3</t>
  </si>
  <si>
    <t>077 44 33 72</t>
  </si>
  <si>
    <t>096 420 9009</t>
  </si>
  <si>
    <t>017 788 613/ 081 323 779</t>
  </si>
  <si>
    <t>097 62 72 251</t>
  </si>
  <si>
    <t>855 92 991 201/ 855 90 285 444</t>
  </si>
  <si>
    <t>088 335 0014</t>
  </si>
  <si>
    <t>017 389 741</t>
  </si>
  <si>
    <t>086 860 760</t>
  </si>
  <si>
    <t>069 704 736</t>
  </si>
  <si>
    <t>069 444 321/ 092 444 321</t>
  </si>
  <si>
    <t>086 880 827 / 071 666 6058</t>
  </si>
  <si>
    <t>012 910 098</t>
  </si>
  <si>
    <t>098 412 432</t>
  </si>
  <si>
    <t>015 20 5858 / 012 621 856</t>
  </si>
  <si>
    <t>010 909 447</t>
  </si>
  <si>
    <t>016 273 583</t>
  </si>
  <si>
    <t>096 94 41 638 / 071 8482 828</t>
  </si>
  <si>
    <t>010 28 33 01/ 097 360 38 68</t>
  </si>
  <si>
    <t>011 660 664</t>
  </si>
  <si>
    <t>012 757 144</t>
  </si>
  <si>
    <t>012 878 511/ 090 775 577</t>
  </si>
  <si>
    <t>069 620 790/ 097 3979 848</t>
  </si>
  <si>
    <t>089 722 898/ 098 722 898</t>
  </si>
  <si>
    <t>016 732 668</t>
  </si>
  <si>
    <t>070 707 673</t>
  </si>
  <si>
    <t>016 636 547</t>
  </si>
  <si>
    <t>012 649 945</t>
  </si>
  <si>
    <t>088 996 6600/ 097 940 4239</t>
  </si>
  <si>
    <t>081 812 615</t>
  </si>
  <si>
    <t>086 317 443</t>
  </si>
  <si>
    <t>096 21 021 41</t>
  </si>
  <si>
    <t>012 233 002</t>
  </si>
  <si>
    <t>070 688 994</t>
  </si>
  <si>
    <t>012 725 671</t>
  </si>
  <si>
    <t>016 490 147</t>
  </si>
  <si>
    <t>093 330 107</t>
  </si>
  <si>
    <t>081 659 804</t>
  </si>
  <si>
    <t>098 85 5006</t>
  </si>
  <si>
    <t>098 234 457</t>
  </si>
  <si>
    <t>011 722 743</t>
  </si>
  <si>
    <t>076 67 20 207/096 67 20 207</t>
  </si>
  <si>
    <t>089 680 668/ 010 783 747</t>
  </si>
  <si>
    <t>096 956 99 66/ 078 56 99 66</t>
  </si>
  <si>
    <t>096 8392 702</t>
  </si>
  <si>
    <t>015 778 779/ 089 558 679</t>
  </si>
  <si>
    <t>081 900 491</t>
  </si>
  <si>
    <t>085 777 303</t>
  </si>
  <si>
    <t>010 544 442</t>
  </si>
  <si>
    <t>016 566 202</t>
  </si>
  <si>
    <t>012 456 004</t>
  </si>
  <si>
    <t>097 66 47633</t>
  </si>
  <si>
    <t>016 506 893</t>
  </si>
  <si>
    <t>015 205 000 / 088 369 1295</t>
  </si>
  <si>
    <t>092 266 854</t>
  </si>
  <si>
    <t>012 737 958</t>
  </si>
  <si>
    <t>096 430 9098/067 520 361</t>
  </si>
  <si>
    <t>014 279 214</t>
  </si>
  <si>
    <t>089 556 559</t>
  </si>
  <si>
    <t>093 567 950/017 567 950</t>
  </si>
  <si>
    <t>096 232 7155/011 760 250</t>
  </si>
  <si>
    <t>015 721 215</t>
  </si>
  <si>
    <t>012 773 899</t>
  </si>
  <si>
    <t>089 650 921</t>
  </si>
  <si>
    <t>081 360 697</t>
  </si>
  <si>
    <t>096 264 09 94/017 353 916</t>
  </si>
  <si>
    <t>088 348 0421</t>
  </si>
  <si>
    <t>017 721 501</t>
  </si>
  <si>
    <t>085 368 811</t>
  </si>
  <si>
    <t>086 366 336</t>
  </si>
  <si>
    <t>096 798 9962</t>
  </si>
  <si>
    <t>097 779 0611</t>
  </si>
  <si>
    <t>010 905 042</t>
  </si>
  <si>
    <t>010 807 277/ 077 555 142</t>
  </si>
  <si>
    <t>070 222 919/095 222 919</t>
  </si>
  <si>
    <t>098 325 641</t>
  </si>
  <si>
    <t>069 833 334</t>
  </si>
  <si>
    <t>015 606 287</t>
  </si>
  <si>
    <t>015 340 336</t>
  </si>
  <si>
    <t>016 200 086/099 480 200</t>
  </si>
  <si>
    <t>012 234 847</t>
  </si>
  <si>
    <t>089 703 033/010 703 033</t>
  </si>
  <si>
    <t>096 811 8006</t>
  </si>
  <si>
    <t>093 718 440</t>
  </si>
  <si>
    <t>096 353 6614</t>
  </si>
  <si>
    <t>097 274 4247/086 701 209</t>
  </si>
  <si>
    <t>098 889 778/ 012 839 890</t>
  </si>
  <si>
    <t>096 977 90 65</t>
  </si>
  <si>
    <t>010 339 971</t>
  </si>
  <si>
    <t>096 519 0848</t>
  </si>
  <si>
    <t>031 738 4343</t>
  </si>
  <si>
    <t>015 884 998</t>
  </si>
  <si>
    <t>088 774 2715</t>
  </si>
  <si>
    <t>081 507 786</t>
  </si>
  <si>
    <t>071 386 7474/087 537 125</t>
  </si>
  <si>
    <t>098 775 959</t>
  </si>
  <si>
    <t>096 740 2925</t>
  </si>
  <si>
    <t>096 863 66 51</t>
  </si>
  <si>
    <t>088 348 04 21</t>
  </si>
  <si>
    <t>093 504 099</t>
  </si>
  <si>
    <t>016 775 557</t>
  </si>
  <si>
    <t>086 456 381/077 869 769</t>
  </si>
  <si>
    <t>070 936 674</t>
  </si>
  <si>
    <t>096 390 5644</t>
  </si>
  <si>
    <t>096 839 2483</t>
  </si>
  <si>
    <t>015 398 006</t>
  </si>
  <si>
    <t>010 461 458</t>
  </si>
  <si>
    <t>078 501 717/090 544 844</t>
  </si>
  <si>
    <t>096 777 8511</t>
  </si>
  <si>
    <t>092 100 085/093 526 062</t>
  </si>
  <si>
    <t>093 637 390/078 632 652</t>
  </si>
  <si>
    <t>077 66 47 62</t>
  </si>
  <si>
    <t>096 584 8112</t>
  </si>
  <si>
    <t>098 992 237</t>
  </si>
  <si>
    <t>099 991 158/016 545 533</t>
  </si>
  <si>
    <t>012 488 682</t>
  </si>
  <si>
    <t>071 605 0167</t>
  </si>
  <si>
    <t>093 621 992</t>
  </si>
  <si>
    <t>087 706 565</t>
  </si>
  <si>
    <t>016 791 197/099 791 197</t>
  </si>
  <si>
    <t>081 548 523</t>
  </si>
  <si>
    <t>096 279 9990</t>
  </si>
  <si>
    <t>088 823 0229</t>
  </si>
  <si>
    <t>012 588 587</t>
  </si>
  <si>
    <t>010 998 809/0972 665 955</t>
  </si>
  <si>
    <t>096 924 2270</t>
  </si>
  <si>
    <t>016 664 343/012 896 991</t>
  </si>
  <si>
    <t>099 565 557/096 557 9799</t>
  </si>
  <si>
    <t>096 327 8366</t>
  </si>
  <si>
    <t>097 209 1615/010 281 159</t>
  </si>
  <si>
    <t>092 595 398/015 412 242</t>
  </si>
  <si>
    <t>010 446 870</t>
  </si>
  <si>
    <t>097 331 4619</t>
  </si>
  <si>
    <t>087 866 866</t>
  </si>
  <si>
    <t>077 783 339/015 380 009</t>
  </si>
  <si>
    <t>081 820 754</t>
  </si>
  <si>
    <t>097 5979149</t>
  </si>
  <si>
    <t>016 803 579</t>
  </si>
  <si>
    <t>012 910 924</t>
  </si>
  <si>
    <t>010 356 357</t>
  </si>
  <si>
    <t>096 30 33 316</t>
  </si>
  <si>
    <t>095 827 826</t>
  </si>
  <si>
    <t>015 60 24 59</t>
  </si>
  <si>
    <t>081 321 313</t>
  </si>
  <si>
    <t>081 878 312</t>
  </si>
  <si>
    <t>085 413 326</t>
  </si>
  <si>
    <t>092 677 446</t>
  </si>
  <si>
    <t>087 727 888</t>
  </si>
  <si>
    <t>010 491 951/016 261 998</t>
  </si>
  <si>
    <t>097 300 6144</t>
  </si>
  <si>
    <t>097 582 8681/ 092 592 961</t>
  </si>
  <si>
    <t>011 729 542</t>
  </si>
  <si>
    <t>081 301 919/068 474 866</t>
  </si>
  <si>
    <t>086 553 599</t>
  </si>
  <si>
    <t>093 503 049</t>
  </si>
  <si>
    <t>097 320 9998/087 232 010</t>
  </si>
  <si>
    <t>077 779 677/070 900 9882</t>
  </si>
  <si>
    <t>069 339 376</t>
  </si>
  <si>
    <t>088 395 1970</t>
  </si>
  <si>
    <t>081 615 624</t>
  </si>
  <si>
    <t>093 966 660/011 732 483</t>
  </si>
  <si>
    <t>010 921 763</t>
  </si>
  <si>
    <t>096 55 88 009/078 860 553</t>
  </si>
  <si>
    <t>012 860 880/010 94 44 94</t>
  </si>
  <si>
    <t>095 829 928/015 829 928</t>
  </si>
  <si>
    <t>093 528 618/017 575 708</t>
  </si>
  <si>
    <t>095 560 818/016 942 600</t>
  </si>
  <si>
    <t>010 230 015</t>
  </si>
  <si>
    <t>011 407 659/086 813 111</t>
  </si>
  <si>
    <t>093 306 932</t>
  </si>
  <si>
    <t>078 478 797</t>
  </si>
  <si>
    <t>010 234 030</t>
  </si>
  <si>
    <t>087 859 705/089 491 881</t>
  </si>
  <si>
    <t>010 698 867</t>
  </si>
  <si>
    <t>011 400 344</t>
  </si>
  <si>
    <t>070 511 996</t>
  </si>
  <si>
    <t>010 566 386</t>
  </si>
  <si>
    <t>098 980 311</t>
  </si>
  <si>
    <t>066 630 007</t>
  </si>
  <si>
    <t>086 850 150</t>
  </si>
  <si>
    <t>071 944 3313</t>
  </si>
  <si>
    <t>096 23 99 003</t>
  </si>
  <si>
    <t>061 999 599/069 97 66 99</t>
  </si>
  <si>
    <t>086 626 666</t>
  </si>
  <si>
    <t>012 759 919</t>
  </si>
  <si>
    <t>077 276 622</t>
  </si>
  <si>
    <t>096 974 0799</t>
  </si>
  <si>
    <t>099 977 130</t>
  </si>
  <si>
    <t>095 395 621</t>
  </si>
  <si>
    <t>016 821 980</t>
  </si>
  <si>
    <t>011 780 61</t>
  </si>
  <si>
    <t>010 6 999 08</t>
  </si>
  <si>
    <t>096 561 0251</t>
  </si>
  <si>
    <t>085 682 832/016 442 010</t>
  </si>
  <si>
    <t>098 49 60 06</t>
  </si>
  <si>
    <t>077 654 009</t>
  </si>
  <si>
    <t>012 426 333</t>
  </si>
  <si>
    <t>098 900 032</t>
  </si>
  <si>
    <t>068 465 555/018 999 9213</t>
  </si>
  <si>
    <t>012 839 022 /096 66 27 666</t>
  </si>
  <si>
    <t>099 236 667</t>
  </si>
  <si>
    <t>066 671 121</t>
  </si>
  <si>
    <t>060 704 902</t>
  </si>
  <si>
    <t>069 272 758/092 92 25 79</t>
  </si>
  <si>
    <t>010 998 813/071 722 2272</t>
  </si>
  <si>
    <t>069 567 496</t>
  </si>
  <si>
    <t>089 935 444/069 935 444</t>
  </si>
  <si>
    <t>010 977 882</t>
  </si>
  <si>
    <t>070 886 171</t>
  </si>
  <si>
    <t>071 918 8883</t>
  </si>
  <si>
    <t>095 252 519/016 377 723</t>
  </si>
  <si>
    <t>098 460 954</t>
  </si>
  <si>
    <t>068 937 067</t>
  </si>
  <si>
    <t>016 377 780/095 98 80 98</t>
  </si>
  <si>
    <t>077 777 679/069 777 679</t>
  </si>
  <si>
    <t>069 999 270/092 333 654</t>
  </si>
  <si>
    <t>092 959 829/070 889 488</t>
  </si>
  <si>
    <t>017 848 478/016 806 804</t>
  </si>
  <si>
    <t>068 276 133/095 303 147</t>
  </si>
  <si>
    <t>087 930 196</t>
  </si>
  <si>
    <t>066 551 188/077 551 188</t>
  </si>
  <si>
    <t>010 899 007/011 719 419</t>
  </si>
  <si>
    <t>010 338 181/010 773 707</t>
  </si>
  <si>
    <t>012 839 022/096 662 7666</t>
  </si>
  <si>
    <t>066 254 416</t>
  </si>
  <si>
    <t>069 272 758/092 922 579</t>
  </si>
  <si>
    <t>098 809 018</t>
  </si>
  <si>
    <t>016 636 883/077 237 771</t>
  </si>
  <si>
    <t>092 777 567</t>
  </si>
  <si>
    <t>081 985 156</t>
  </si>
  <si>
    <t>089 618579</t>
  </si>
  <si>
    <t>089 283 393/010 278 338</t>
  </si>
  <si>
    <t>096 930 1212</t>
  </si>
  <si>
    <t>010 709 996/ 078 969 991</t>
  </si>
  <si>
    <t>012 328 234/070 908 008</t>
  </si>
  <si>
    <t>089 530 330</t>
  </si>
  <si>
    <t>011 975 252/097 426 5739</t>
  </si>
  <si>
    <t>098 353 543</t>
  </si>
  <si>
    <t>092 950 440/ 097 5225 909</t>
  </si>
  <si>
    <t>017 333 265/081 567 656</t>
  </si>
  <si>
    <t>099 291 712</t>
  </si>
  <si>
    <t>096 883 4131</t>
  </si>
  <si>
    <t>096 666 5413</t>
  </si>
  <si>
    <t>092 205 500</t>
  </si>
  <si>
    <t>061 233 299</t>
  </si>
  <si>
    <t>099 858 571</t>
  </si>
  <si>
    <t>010 333 546</t>
  </si>
  <si>
    <t>010 453 221</t>
  </si>
  <si>
    <t>093 342 727/011 342 727</t>
  </si>
  <si>
    <t>093 453 555/089 453 555</t>
  </si>
  <si>
    <t>098 541 100/088 9786 111</t>
  </si>
  <si>
    <t>087 991 777</t>
  </si>
  <si>
    <t>096 293 0601</t>
  </si>
  <si>
    <t>096 809 5997</t>
  </si>
  <si>
    <t>098 671 068</t>
  </si>
  <si>
    <t>098 333 458/ 077 631 222</t>
  </si>
  <si>
    <t>015 873 004/078 324 349</t>
  </si>
  <si>
    <t>096 569 7878</t>
  </si>
  <si>
    <t>096 810 1624</t>
  </si>
  <si>
    <t>092 707 056</t>
  </si>
  <si>
    <t>010 282 345</t>
  </si>
  <si>
    <t>085 404017/016 30 40 61/0977604017</t>
  </si>
  <si>
    <t>069 517 736</t>
  </si>
  <si>
    <t>096 247 5490/086 224 437</t>
  </si>
  <si>
    <t>098 673 484 / 085 385 784</t>
  </si>
  <si>
    <t>015 905 407/017 312 047</t>
  </si>
  <si>
    <t>010 330 656/088 550 5946</t>
  </si>
  <si>
    <t>096 47 51 161/097 950 7788</t>
  </si>
  <si>
    <t>018 970 1059/096 525 3336</t>
  </si>
  <si>
    <t>093 877 316</t>
  </si>
  <si>
    <t>070 457 376/077 437 336</t>
  </si>
  <si>
    <t>081 904 064/061 947 495</t>
  </si>
  <si>
    <t>015 689 668/097 742 6 77</t>
  </si>
  <si>
    <t>010 633 328</t>
  </si>
  <si>
    <t>099 981 116</t>
  </si>
  <si>
    <t>069 772 959/078 588 488</t>
  </si>
  <si>
    <t>087 677 078/016 855 857</t>
  </si>
  <si>
    <t>017 635 463</t>
  </si>
  <si>
    <t>077 584 107</t>
  </si>
  <si>
    <t>096 537 0546/017 771 183</t>
  </si>
  <si>
    <t>010 920 999/097 2329 777</t>
  </si>
  <si>
    <t>096 459 3333</t>
  </si>
  <si>
    <t>012 869 387/096 376 2920</t>
  </si>
  <si>
    <t>081 323 779/017 788 613</t>
  </si>
  <si>
    <t>071 707 0799</t>
  </si>
  <si>
    <t>086 800 699</t>
  </si>
  <si>
    <t>097 772 2678</t>
  </si>
  <si>
    <t>015 531 824/078 941 333</t>
  </si>
  <si>
    <t>081 244 413</t>
  </si>
  <si>
    <t>098 692 168</t>
  </si>
  <si>
    <t>096 435 3250</t>
  </si>
  <si>
    <t>099 606665</t>
  </si>
  <si>
    <t>090 550 928/ 096 995 1118</t>
  </si>
  <si>
    <t>070 500 839</t>
  </si>
  <si>
    <t>012 94 00 74/086 57 67 25</t>
  </si>
  <si>
    <t>096 641 6444</t>
  </si>
  <si>
    <t>010 792 182/012 522 982</t>
  </si>
  <si>
    <t>092 992 166/093 992 166</t>
  </si>
  <si>
    <t>093 592 107</t>
  </si>
  <si>
    <t>017 331 788</t>
  </si>
  <si>
    <t>012 241 722 / 096 3839 094</t>
  </si>
  <si>
    <t>015 401 331</t>
  </si>
  <si>
    <t>086 557 222</t>
  </si>
  <si>
    <t>096 55 88 009 / 078 860 553</t>
  </si>
  <si>
    <t>097 651 0888/098 435 685</t>
  </si>
  <si>
    <t>070 929 125</t>
  </si>
  <si>
    <t>088 2420 959</t>
  </si>
  <si>
    <t>086 337 145</t>
  </si>
  <si>
    <t>096 285 6817</t>
  </si>
  <si>
    <t>016 335 589</t>
  </si>
  <si>
    <t>070 202 575/077 987 410</t>
  </si>
  <si>
    <t>061 937 340</t>
  </si>
  <si>
    <t>017 646 644/015 646 644</t>
  </si>
  <si>
    <t>098 743 777</t>
  </si>
  <si>
    <t>090 913 294</t>
  </si>
  <si>
    <t>069 345 864</t>
  </si>
  <si>
    <t>012 711 502</t>
  </si>
  <si>
    <t>081 795 007/071 310 4444</t>
  </si>
  <si>
    <t>096 298 8282</t>
  </si>
  <si>
    <t>016 966 058/092 580 558</t>
  </si>
  <si>
    <t>088 666 2289</t>
  </si>
  <si>
    <t>078 990 919</t>
  </si>
  <si>
    <t>070 870 222/077 789 880</t>
  </si>
  <si>
    <t>095 666 493/ 081 412 148</t>
  </si>
  <si>
    <t>011 311 123</t>
  </si>
  <si>
    <t>096 667 0345/078 498 049</t>
  </si>
  <si>
    <t>088 467 2777/098 448 949</t>
  </si>
  <si>
    <t>099 777 370</t>
  </si>
  <si>
    <t>066 893 641</t>
  </si>
  <si>
    <t>087 665 455</t>
  </si>
  <si>
    <t>010 865 415</t>
  </si>
  <si>
    <t>078 328 816</t>
  </si>
  <si>
    <t>096 813 1111</t>
  </si>
  <si>
    <t>017 599 289/010 339 289</t>
  </si>
  <si>
    <t>010 391 655/071 876 1303</t>
  </si>
  <si>
    <t>070 881 001</t>
  </si>
  <si>
    <t>010 800 933</t>
  </si>
  <si>
    <t>092 758 335</t>
  </si>
  <si>
    <t>011 242 474</t>
  </si>
  <si>
    <t>096 613 5141/078 615 141</t>
  </si>
  <si>
    <t>077 302 909</t>
  </si>
  <si>
    <t>015 556 886/011 556 886</t>
  </si>
  <si>
    <t>092 259 568</t>
  </si>
  <si>
    <t>010 772 639</t>
  </si>
  <si>
    <t>096 209 1795</t>
  </si>
  <si>
    <t>010 663 484</t>
  </si>
  <si>
    <t>012 835 958</t>
  </si>
  <si>
    <t>097 44 60 262/096 89 75 500</t>
  </si>
  <si>
    <t>010 271 911</t>
  </si>
  <si>
    <t>089 313 115</t>
  </si>
  <si>
    <t>086 973 830</t>
  </si>
  <si>
    <t>096 956 8144</t>
  </si>
  <si>
    <t>016 707 091</t>
  </si>
  <si>
    <t>016 900 796</t>
  </si>
  <si>
    <t>093 709 357/017 859 229</t>
  </si>
  <si>
    <t>096 652 6941/088 645 8289</t>
  </si>
  <si>
    <t>017 608 889</t>
  </si>
  <si>
    <t>097 572 0992</t>
  </si>
  <si>
    <t>017 726 100/010 726 100</t>
  </si>
  <si>
    <t>016 322 633</t>
  </si>
  <si>
    <t>096 810 1070/071 812 2287/089 602 020</t>
  </si>
  <si>
    <t>086 980 066</t>
  </si>
  <si>
    <t>010 889 310</t>
  </si>
  <si>
    <t>096 751 0922/096 751 0922</t>
  </si>
  <si>
    <t>081 473 612</t>
  </si>
  <si>
    <t>096 429 0594</t>
  </si>
  <si>
    <t>086 277 168</t>
  </si>
  <si>
    <t>017 763 677</t>
  </si>
  <si>
    <t>Master</t>
  </si>
  <si>
    <t>High School</t>
  </si>
  <si>
    <t>NA</t>
  </si>
  <si>
    <t>Primary School</t>
  </si>
  <si>
    <t>Secondary School</t>
  </si>
  <si>
    <t>Bachelor</t>
  </si>
  <si>
    <t>Undergraduate</t>
  </si>
  <si>
    <t>Construction Manager</t>
  </si>
  <si>
    <t>Operation Manager</t>
  </si>
  <si>
    <t>Senior Researching Manager</t>
  </si>
  <si>
    <t>Business Performance Analytics Specialist</t>
  </si>
  <si>
    <t>Fiance Director</t>
  </si>
  <si>
    <t>Creative Manager</t>
  </si>
  <si>
    <t>Accounting Manager</t>
  </si>
  <si>
    <t>Senior Income Officer</t>
  </si>
  <si>
    <t>Chief Executive Officer</t>
  </si>
  <si>
    <t>Customer Service Executive</t>
  </si>
  <si>
    <t>Relationship officer</t>
  </si>
  <si>
    <t>HR Officer</t>
  </si>
  <si>
    <t>Senior HR&amp; Admin Officer</t>
  </si>
  <si>
    <t>Human Resource Officer</t>
  </si>
  <si>
    <t>Retail Promotion &amp; Planning</t>
  </si>
  <si>
    <t>Senior HR Officer</t>
  </si>
  <si>
    <t>Senior Ghraphic Designer</t>
  </si>
  <si>
    <t>Cashier</t>
  </si>
  <si>
    <t>Fanancial Controller</t>
  </si>
  <si>
    <t>Tuk Tuk Driver</t>
  </si>
  <si>
    <t>Chief Finance Officer</t>
  </si>
  <si>
    <t xml:space="preserve">Accounting and Operation Manager </t>
  </si>
  <si>
    <t>Financial Accounting and Tax Manager</t>
  </si>
  <si>
    <t>Site Engineer</t>
  </si>
  <si>
    <t>Finance and Tax Manager</t>
  </si>
  <si>
    <t>Head of Accounting</t>
  </si>
  <si>
    <t>Quality Control Engineer</t>
  </si>
  <si>
    <t>Structure Engineer</t>
  </si>
  <si>
    <t>Lab Engineer</t>
  </si>
  <si>
    <t>Graphic Designer</t>
  </si>
  <si>
    <t xml:space="preserve">Graphic Design </t>
  </si>
  <si>
    <t>Structural Site Supervision Engineer</t>
  </si>
  <si>
    <t>POP Officer</t>
  </si>
  <si>
    <t xml:space="preserve">Accounting Leader&amp; Financeial Controller </t>
  </si>
  <si>
    <t xml:space="preserve">Delivery </t>
  </si>
  <si>
    <t>Senior HR Oficer</t>
  </si>
  <si>
    <t>BILL OF QUANTITY</t>
  </si>
  <si>
    <t>Assisstant HR</t>
  </si>
  <si>
    <t>Tailor</t>
  </si>
  <si>
    <t>Qs Enginee</t>
  </si>
  <si>
    <t>Photographer, Videographer and Video Editor</t>
  </si>
  <si>
    <t>Civil Engineer</t>
  </si>
  <si>
    <t>Assisstant Provincial Community Foresty Partner</t>
  </si>
  <si>
    <t>QC Supervisor</t>
  </si>
  <si>
    <t>Assisstant Product Manager</t>
  </si>
  <si>
    <t>Sales &amp; Marketing Manager</t>
  </si>
  <si>
    <t>HR Supervisor</t>
  </si>
  <si>
    <t>Assisstant Survey</t>
  </si>
  <si>
    <t xml:space="preserve">Internal Audit Officer (Field Audit Officer) </t>
  </si>
  <si>
    <t>Head of Finance and Accounting</t>
  </si>
  <si>
    <t>HR Recruitment</t>
  </si>
  <si>
    <t>Recruitment Officer</t>
  </si>
  <si>
    <t>IT Ofiicer</t>
  </si>
  <si>
    <t>Accounting and Finance Manager</t>
  </si>
  <si>
    <t>Brand Promoter and Development Manager</t>
  </si>
  <si>
    <t>Head of Commercial</t>
  </si>
  <si>
    <t>Brach Operation Officer</t>
  </si>
  <si>
    <t>HR Service Supervisor</t>
  </si>
  <si>
    <t>Head of Academic</t>
  </si>
  <si>
    <t>Senior HR &amp;Admin Officer</t>
  </si>
  <si>
    <t>Human Resource &amp; Business Development Partner</t>
  </si>
  <si>
    <t>TA Manager</t>
  </si>
  <si>
    <t>assisstant HRBP</t>
  </si>
  <si>
    <t>TA &amp; Training Manager</t>
  </si>
  <si>
    <t>HRBP and TA Manager</t>
  </si>
  <si>
    <t xml:space="preserve">T&amp;D Manager </t>
  </si>
  <si>
    <t>HR Manager</t>
  </si>
  <si>
    <t>Senior HRM</t>
  </si>
  <si>
    <t>Senior Sales Officer</t>
  </si>
  <si>
    <t>Payroll Assisstant</t>
  </si>
  <si>
    <t>Marketing &amp; Event Manager</t>
  </si>
  <si>
    <t>MANAGING DIRECTOR</t>
  </si>
  <si>
    <t>Technical &amp; Service Support Supervisor</t>
  </si>
  <si>
    <t>Marketing Assisstant</t>
  </si>
  <si>
    <t>Cashier Supervisor</t>
  </si>
  <si>
    <t>System Engineer (Officer)</t>
  </si>
  <si>
    <t>IT Executive</t>
  </si>
  <si>
    <t>Graphic design supervisor</t>
  </si>
  <si>
    <t xml:space="preserve">Seller </t>
  </si>
  <si>
    <t>HR Management</t>
  </si>
  <si>
    <t>Head of Finance</t>
  </si>
  <si>
    <t>IT officer</t>
  </si>
  <si>
    <t>Senior IT Officer</t>
  </si>
  <si>
    <t>Sale Exacutive</t>
  </si>
  <si>
    <t>Planning engineer.</t>
  </si>
  <si>
    <t>Assistant Engineer</t>
  </si>
  <si>
    <t>Quantity Surveyor Engineer</t>
  </si>
  <si>
    <t>PURCHASING OFFICER</t>
  </si>
  <si>
    <t>Sales Officer</t>
  </si>
  <si>
    <t>Teacher of English</t>
  </si>
  <si>
    <t>Legal Assistant</t>
  </si>
  <si>
    <t>Teacher Assistant</t>
  </si>
  <si>
    <t>Sales Project Executive</t>
  </si>
  <si>
    <t>General Manager</t>
  </si>
  <si>
    <t>Business Owner</t>
  </si>
  <si>
    <t>Group HR Manager</t>
  </si>
  <si>
    <t>Head of Operation</t>
  </si>
  <si>
    <t>Human Resources Manager</t>
  </si>
  <si>
    <t>Head of Service Operation</t>
  </si>
  <si>
    <t>Consultant</t>
  </si>
  <si>
    <t>Site Finishing Engineer</t>
  </si>
  <si>
    <t>RecruitOR</t>
  </si>
  <si>
    <t>Senior Accountants</t>
  </si>
  <si>
    <t>Human Resource Manager</t>
  </si>
  <si>
    <t>head of Accounting</t>
  </si>
  <si>
    <t xml:space="preserve">HR &amp; Admin Executive </t>
  </si>
  <si>
    <t>Senior Officer, Core Banking and Applications Support (Oracle FLEXCUBE)</t>
  </si>
  <si>
    <t>Head Of HR</t>
  </si>
  <si>
    <t>Assistant IT Manager</t>
  </si>
  <si>
    <t>Manager</t>
  </si>
  <si>
    <t>Site Supervisor</t>
  </si>
  <si>
    <t>Credit Officer</t>
  </si>
  <si>
    <t>IT Infrastructure Department Manager</t>
  </si>
  <si>
    <t xml:space="preserve">Regional Sales Supervisor </t>
  </si>
  <si>
    <t>Relation Manager</t>
  </si>
  <si>
    <t>Finance and Accounting Manager</t>
  </si>
  <si>
    <t>C&amp;B Supervisor</t>
  </si>
  <si>
    <t>Senior Technical Staf</t>
  </si>
  <si>
    <t>Project Director</t>
  </si>
  <si>
    <t>QS Engineer</t>
  </si>
  <si>
    <t>Assistant Senior Site Manager</t>
  </si>
  <si>
    <t xml:space="preserve">Beauti Consultant </t>
  </si>
  <si>
    <t>HR &amp; Admin Manager</t>
  </si>
  <si>
    <t>QS</t>
  </si>
  <si>
    <t>Operation Support Officer</t>
  </si>
  <si>
    <t>HRBP Manager</t>
  </si>
  <si>
    <t>Account Payable</t>
  </si>
  <si>
    <t>L&amp;D Manager</t>
  </si>
  <si>
    <t>Senoir Service People</t>
  </si>
  <si>
    <t>Head, HR Operations</t>
  </si>
  <si>
    <t>IT And Accounting Admin</t>
  </si>
  <si>
    <t>General Mall Manager</t>
  </si>
  <si>
    <t>Assistant QS/Site Engineer</t>
  </si>
  <si>
    <t>Fraktal Construction</t>
  </si>
  <si>
    <t>SOMA CONSTRUCTION &amp; DEVELOPMENT</t>
  </si>
  <si>
    <t>Quality control &amp; Research &amp; Development Officer</t>
  </si>
  <si>
    <t>Head Operations</t>
  </si>
  <si>
    <t>IT Manager</t>
  </si>
  <si>
    <t>HR &amp; Admin Director</t>
  </si>
  <si>
    <t>Sales Representative</t>
  </si>
  <si>
    <t>General Manger</t>
  </si>
  <si>
    <t>Senior IT Technician</t>
  </si>
  <si>
    <t>Group Head of Human Resource and Admin Manager</t>
  </si>
  <si>
    <t>Account Manager</t>
  </si>
  <si>
    <t>MEP QS Engineer</t>
  </si>
  <si>
    <t>HEAD OF FINANCE</t>
  </si>
  <si>
    <t xml:space="preserve">Senior HR </t>
  </si>
  <si>
    <t>HR Director</t>
  </si>
  <si>
    <t>Event &amp; Marketing Manager</t>
  </si>
  <si>
    <t>CIVIL ENGINEERING</t>
  </si>
  <si>
    <t>Technician</t>
  </si>
  <si>
    <t xml:space="preserve">Senior Agency Manager </t>
  </si>
  <si>
    <t>Media Production Executive</t>
  </si>
  <si>
    <t>Senior Supervisor, Operation and Customer Service</t>
  </si>
  <si>
    <t>Production Supervisor</t>
  </si>
  <si>
    <t>Service Supervisor</t>
  </si>
  <si>
    <t>Senior Marketing</t>
  </si>
  <si>
    <t>Safety Manager</t>
  </si>
  <si>
    <t>Channel Saes ad Leasing Supervisor</t>
  </si>
  <si>
    <t>Assistant of Engineer</t>
  </si>
  <si>
    <t xml:space="preserve">Asst. Manager-QA/QC </t>
  </si>
  <si>
    <t>PRODUCTION MANAGER</t>
  </si>
  <si>
    <t>Senior Accountant</t>
  </si>
  <si>
    <t>Property consultant Manager</t>
  </si>
  <si>
    <t xml:space="preserve">Marketing and Sale Manager </t>
  </si>
  <si>
    <t>Senior Marketing officer</t>
  </si>
  <si>
    <t>Admin Officer</t>
  </si>
  <si>
    <t>Commercial Director</t>
  </si>
  <si>
    <t>SALES MANAGER</t>
  </si>
  <si>
    <t>Data Entry</t>
  </si>
  <si>
    <t>Investment Operations &amp; Compliance manager</t>
  </si>
  <si>
    <t>Operation &amp; financial</t>
  </si>
  <si>
    <t>Reporting</t>
  </si>
  <si>
    <t>Customer Service</t>
  </si>
  <si>
    <t>Assistant Monitoring Manager</t>
  </si>
  <si>
    <t>Admin page</t>
  </si>
  <si>
    <t>Store Supervisor</t>
  </si>
  <si>
    <t>Admin and Sales Admin</t>
  </si>
  <si>
    <t>Stock Controller</t>
  </si>
  <si>
    <t>Service Crew</t>
  </si>
  <si>
    <t>Retails Association</t>
  </si>
  <si>
    <t>Information Officer</t>
  </si>
  <si>
    <t>Sales and Marketing Officer</t>
  </si>
  <si>
    <t>Actor and Rapper</t>
  </si>
  <si>
    <t>Accountant</t>
  </si>
  <si>
    <t>Accounting Supervisor</t>
  </si>
  <si>
    <t>Assistant of Station</t>
  </si>
  <si>
    <t>Store leader</t>
  </si>
  <si>
    <t>Group Chief Internal Audit Officer</t>
  </si>
  <si>
    <t>Agent Management Officer</t>
  </si>
  <si>
    <t>Freelance sales Real Estate</t>
  </si>
  <si>
    <t>Payroll Executive</t>
  </si>
  <si>
    <t>Tax Accountant</t>
  </si>
  <si>
    <t>Chief Accountant</t>
  </si>
  <si>
    <t>Station Manager</t>
  </si>
  <si>
    <t>Graphic Designer , Photographer &amp; Video Editor</t>
  </si>
  <si>
    <t>Admin and HR Manager</t>
  </si>
  <si>
    <t xml:space="preserve">Assistant Finance and Accounting Manager </t>
  </si>
  <si>
    <t>Senior Graphic Designer</t>
  </si>
  <si>
    <t xml:space="preserve">Teacher </t>
  </si>
  <si>
    <t xml:space="preserve">Supply Chain Director </t>
  </si>
  <si>
    <t>Project Sales Manager</t>
  </si>
  <si>
    <t>Graphic Designer and Video Editor</t>
  </si>
  <si>
    <t>Master Introducing Broker (Freelance)</t>
  </si>
  <si>
    <t xml:space="preserve">Graphic Design and Video Editor &amp; Motion Graphic </t>
  </si>
  <si>
    <t xml:space="preserve">Designer and Video Editing and content creator </t>
  </si>
  <si>
    <t>Inventory Officer</t>
  </si>
  <si>
    <t>Video Editor</t>
  </si>
  <si>
    <t>Program Assistant (PA)</t>
  </si>
  <si>
    <t xml:space="preserve">Graphic Designer </t>
  </si>
  <si>
    <t xml:space="preserve">E-Commerce and Social Media Assistant Manager </t>
  </si>
  <si>
    <t>Service Advisor</t>
  </si>
  <si>
    <t>Account Receivable Officer</t>
  </si>
  <si>
    <t>Sr Unit Manager</t>
  </si>
  <si>
    <t>Finance &amp; Administration Manager</t>
  </si>
  <si>
    <t>Ostra Fine Foods Co.,Ltd</t>
  </si>
  <si>
    <t>OCIC</t>
  </si>
  <si>
    <t>Lady H Bakery</t>
  </si>
  <si>
    <t xml:space="preserve">Assistant Site Manager </t>
  </si>
  <si>
    <t>Site Manager</t>
  </si>
  <si>
    <t>Admin and Accounting</t>
  </si>
  <si>
    <t>Site Architect</t>
  </si>
  <si>
    <t>sale showroom</t>
  </si>
  <si>
    <t>Assistant</t>
  </si>
  <si>
    <t>Assistant to Deputy Director of Studies for Computer Program</t>
  </si>
  <si>
    <t>Project engineer</t>
  </si>
  <si>
    <t xml:space="preserve">Grapic Designer and Video Editor </t>
  </si>
  <si>
    <t>Chip Mong Land</t>
  </si>
  <si>
    <t>IT Administrator</t>
  </si>
  <si>
    <t>BID Business Executive</t>
  </si>
  <si>
    <t>Freelancer</t>
  </si>
  <si>
    <t>Personal Driver</t>
  </si>
  <si>
    <t xml:space="preserve">Sales and Cashier </t>
  </si>
  <si>
    <t>Senior IT Executive</t>
  </si>
  <si>
    <t>IT Supervisor and Operation</t>
  </si>
  <si>
    <t>Accountant Supervisor</t>
  </si>
  <si>
    <t>Inventory Manager</t>
  </si>
  <si>
    <t>Admin Finance and Chief Account</t>
  </si>
  <si>
    <t xml:space="preserve">Accountant </t>
  </si>
  <si>
    <t xml:space="preserve">Draft Engineer </t>
  </si>
  <si>
    <t>Shop drawing &amp; QS, (Freelancer)</t>
  </si>
  <si>
    <t>Accounting and Admin Executive</t>
  </si>
  <si>
    <t>IT Officer</t>
  </si>
  <si>
    <t xml:space="preserve">Graphic Designer and Video Editor </t>
  </si>
  <si>
    <t xml:space="preserve">Store Assistant </t>
  </si>
  <si>
    <t>MEP Site Supervisor</t>
  </si>
  <si>
    <t>ASISTANT SURVEY</t>
  </si>
  <si>
    <t>Local Control Resource Manager</t>
  </si>
  <si>
    <t>Draftsman</t>
  </si>
  <si>
    <t xml:space="preserve">Driver </t>
  </si>
  <si>
    <t>Senior IT Network</t>
  </si>
  <si>
    <t xml:space="preserve">IT Supervisor </t>
  </si>
  <si>
    <t xml:space="preserve">Grapic Designer </t>
  </si>
  <si>
    <t>Trainee engineer</t>
  </si>
  <si>
    <t>Office Staff</t>
  </si>
  <si>
    <t>Pre-Sale Engineer</t>
  </si>
  <si>
    <t>Network and Infrastructure Supervisor</t>
  </si>
  <si>
    <t>Career Consultant</t>
  </si>
  <si>
    <t>Accounting Assistant</t>
  </si>
  <si>
    <t>Accounting officer</t>
  </si>
  <si>
    <t>Senior IT Supervisor</t>
  </si>
  <si>
    <t>Senior Sales Executive</t>
  </si>
  <si>
    <t>AP accounting</t>
  </si>
  <si>
    <t>Sale and Marketing Manager</t>
  </si>
  <si>
    <t>AP and AR Officer</t>
  </si>
  <si>
    <t>Sales Key Account Manager</t>
  </si>
  <si>
    <t>Workshop on Borey Project - Sale Workshop and Attachment Program</t>
  </si>
  <si>
    <t>Senior Property Manager</t>
  </si>
  <si>
    <t>Manager, Infrastructure Server and Network</t>
  </si>
  <si>
    <t>Sale Supervisor</t>
  </si>
  <si>
    <t>Sales Outdoor Officer</t>
  </si>
  <si>
    <t>SALE OUTDOOR</t>
  </si>
  <si>
    <t>HR &amp; Admin Supervisor</t>
  </si>
  <si>
    <t xml:space="preserve">Sales and Marketing </t>
  </si>
  <si>
    <t>IT Support</t>
  </si>
  <si>
    <t>Quality Control Oil</t>
  </si>
  <si>
    <t>Brand Manager</t>
  </si>
  <si>
    <t>Barista</t>
  </si>
  <si>
    <t>Sales Manager</t>
  </si>
  <si>
    <t>Sales Operation Manager</t>
  </si>
  <si>
    <t>Deputy Head of IT</t>
  </si>
  <si>
    <t>Business Advisor</t>
  </si>
  <si>
    <t>Sales Associate</t>
  </si>
  <si>
    <t>Sales &amp; admin</t>
  </si>
  <si>
    <t>HR and IT Manager</t>
  </si>
  <si>
    <t>IT Specialist</t>
  </si>
  <si>
    <t>Sale Executives</t>
  </si>
  <si>
    <t>Payroll Service Manager</t>
  </si>
  <si>
    <t>Marketing Consultant</t>
  </si>
  <si>
    <t>Sale and Marketing Unit Manager</t>
  </si>
  <si>
    <t>National Sales Manager</t>
  </si>
  <si>
    <t>Regional Sales Manager</t>
  </si>
  <si>
    <t>Sales and Marketing Freelancer</t>
  </si>
  <si>
    <t>Sales Team Leader</t>
  </si>
  <si>
    <t>Purchasing</t>
  </si>
  <si>
    <t>Branch Manger</t>
  </si>
  <si>
    <t>Business Analysis Manager</t>
  </si>
  <si>
    <t>Regional Sale Manager</t>
  </si>
  <si>
    <t>Property Listing and Sales</t>
  </si>
  <si>
    <t>Head of Area Sales Development</t>
  </si>
  <si>
    <t>Event &amp; Activation Manager</t>
  </si>
  <si>
    <t>Canopy Sands Development Co., Ltd</t>
  </si>
  <si>
    <t>Key Account Manager</t>
  </si>
  <si>
    <t>Senior Laboratory Supervisor</t>
  </si>
  <si>
    <t>Sale and Marketing Representative</t>
  </si>
  <si>
    <t>Coordinate Project Manager</t>
  </si>
  <si>
    <t>Livcomo Overseas Import Export PTE., Ltd</t>
  </si>
  <si>
    <t>Head of Public Relation and Advertising</t>
  </si>
  <si>
    <t>Human Resource and General Affair Manager</t>
  </si>
  <si>
    <t>Head of Marketing</t>
  </si>
  <si>
    <t>Business Consultant</t>
  </si>
  <si>
    <t>Managing network system</t>
  </si>
  <si>
    <t>Inorganic team leader</t>
  </si>
  <si>
    <t xml:space="preserve">Senior Sales and Marketing </t>
  </si>
  <si>
    <t>Site Decoration ID</t>
  </si>
  <si>
    <t>Sale &amp;Marketing Supervisor</t>
  </si>
  <si>
    <t>Office Supervisor</t>
  </si>
  <si>
    <t>Finance and Admin Manager</t>
  </si>
  <si>
    <t>Employee Engagement and Organisation Development Superviosr</t>
  </si>
  <si>
    <t>Head of Sales</t>
  </si>
  <si>
    <t>Truck Manager</t>
  </si>
  <si>
    <t>Sale</t>
  </si>
  <si>
    <t>HR &amp;Admin Manager</t>
  </si>
  <si>
    <t xml:space="preserve"> IT/Security Technician</t>
  </si>
  <si>
    <t>MEP Team Leader</t>
  </si>
  <si>
    <t>Admin Supervisor</t>
  </si>
  <si>
    <t>Marketing Supervisor</t>
  </si>
  <si>
    <t>HR &amp; Admin Executive</t>
  </si>
  <si>
    <t>Chief of Administration &amp; Human Resources Officer &amp; Academic Supporter</t>
  </si>
  <si>
    <t>American Corner Director</t>
  </si>
  <si>
    <t>Shop supervisor</t>
  </si>
  <si>
    <t>Production Management Control Manager</t>
  </si>
  <si>
    <t>Deputy HR Operation Manager</t>
  </si>
  <si>
    <t>Human Resource and Admin Manager</t>
  </si>
  <si>
    <t>Member, Freelancer</t>
  </si>
  <si>
    <t>HR/Administration Manager</t>
  </si>
  <si>
    <t>HR Compliance Specialist</t>
  </si>
  <si>
    <t>Personal Assistant Executive Director &amp; HR Management</t>
  </si>
  <si>
    <t>HR &amp; Training Development Manager</t>
  </si>
  <si>
    <t>Product category</t>
  </si>
  <si>
    <t>MDE Engineer</t>
  </si>
  <si>
    <t>HR Outsourcing Manager</t>
  </si>
  <si>
    <t>Order</t>
  </si>
  <si>
    <t>HR Specialist</t>
  </si>
  <si>
    <t>Assistant Production Manager</t>
  </si>
  <si>
    <t>Short Course Trainer</t>
  </si>
  <si>
    <t>Head of Human Resources &amp; Administration</t>
  </si>
  <si>
    <t>Project Sale Supervisor</t>
  </si>
  <si>
    <t>Sales Team</t>
  </si>
  <si>
    <t>Commercialization Production Manager</t>
  </si>
  <si>
    <t>Sale Manager</t>
  </si>
  <si>
    <t>Deputy HR &amp; Admin Manager</t>
  </si>
  <si>
    <t>HR Store Manager</t>
  </si>
  <si>
    <t>HR &amp; Admin</t>
  </si>
  <si>
    <t>Manger shopping center &amp; Property Management</t>
  </si>
  <si>
    <t>Assistant Manger Product</t>
  </si>
  <si>
    <t>Human Resource Business Partner</t>
  </si>
  <si>
    <t>Store staff and Cashier</t>
  </si>
  <si>
    <t>Manager-General</t>
  </si>
  <si>
    <t>Sale &amp; Marketing Manager</t>
  </si>
  <si>
    <t>Marketing Executive</t>
  </si>
  <si>
    <t>Senior Market Research Executive</t>
  </si>
  <si>
    <t>IT Operation Manager</t>
  </si>
  <si>
    <t>HR/Admin Manager</t>
  </si>
  <si>
    <t>Business Manager</t>
  </si>
  <si>
    <t>Operations Supervisor</t>
  </si>
  <si>
    <t>Key Account Officer</t>
  </si>
  <si>
    <t>Sale Project supervisor</t>
  </si>
  <si>
    <t>Collaboration Engineer II</t>
  </si>
  <si>
    <t>Purchasing Manager</t>
  </si>
  <si>
    <t>Supply Chain Management</t>
  </si>
  <si>
    <t>Head HR and Training</t>
  </si>
  <si>
    <t>Purchasing officer</t>
  </si>
  <si>
    <t>IT Senior Core Banking officer</t>
  </si>
  <si>
    <t>IT Infrastructure Specialist</t>
  </si>
  <si>
    <t>Account Payable and Treasury</t>
  </si>
  <si>
    <t>Procurement Supervisor</t>
  </si>
  <si>
    <t>Spean Luy Co.,Ltd</t>
  </si>
  <si>
    <t>Head of HR and Admin</t>
  </si>
  <si>
    <t>Assistant Human Resources Manager</t>
  </si>
  <si>
    <t>Acoucnt Revenue</t>
  </si>
  <si>
    <t>Cashier leader</t>
  </si>
  <si>
    <t>HR Relations and Training Manager</t>
  </si>
  <si>
    <t>Sales Admin &amp; Accountant Officer</t>
  </si>
  <si>
    <t>Architect Design</t>
  </si>
  <si>
    <t>Borey Nadi</t>
  </si>
  <si>
    <t>Stock Controler</t>
  </si>
  <si>
    <t>Human Resources Business Partner</t>
  </si>
  <si>
    <t>Junior Architect</t>
  </si>
  <si>
    <t>Technical Brewer</t>
  </si>
  <si>
    <t>Senior Stock officer and Casheir</t>
  </si>
  <si>
    <t>Stock Leader Team</t>
  </si>
  <si>
    <t>Stock Controller Supervisor</t>
  </si>
  <si>
    <t>HR-Admin &amp; Property Manager</t>
  </si>
  <si>
    <t>Senior Admin Officer</t>
  </si>
  <si>
    <t>Human Capital Supervisor</t>
  </si>
  <si>
    <t>UC Designer</t>
  </si>
  <si>
    <t>WEWIN Company</t>
  </si>
  <si>
    <t>Japan Value Cambodia</t>
  </si>
  <si>
    <t>Manulife Cambodia</t>
  </si>
  <si>
    <t>Belt Road Capital</t>
  </si>
  <si>
    <t>Kim Mex construction</t>
  </si>
  <si>
    <t>WAM Digital</t>
  </si>
  <si>
    <t>Tang Nguon Nguon Trading Co., Ltd</t>
  </si>
  <si>
    <t>AII &amp; AIS School</t>
  </si>
  <si>
    <t>Human-Earth Development Center</t>
  </si>
  <si>
    <t>OFA168 CASINO</t>
  </si>
  <si>
    <t>Chipmong Bank</t>
  </si>
  <si>
    <t>PS&amp;E</t>
  </si>
  <si>
    <t>City Microfinance Institution Plc</t>
  </si>
  <si>
    <t>Toyota Cambodia</t>
  </si>
  <si>
    <t>GGEAR</t>
  </si>
  <si>
    <t>Camma Microfinace limited</t>
  </si>
  <si>
    <t>Sourkea Restaurant</t>
  </si>
  <si>
    <t>Phnom Penh Safari</t>
  </si>
  <si>
    <t>Sika Cambodia</t>
  </si>
  <si>
    <t>PR Company</t>
  </si>
  <si>
    <t>Support Her Enterprise
Co.,Ltd.(SHE Investment)</t>
  </si>
  <si>
    <t>Brown Coffee Co., LTD</t>
  </si>
  <si>
    <t>Kim Mex Construction &amp; Investment CO.,LTD</t>
  </si>
  <si>
    <t xml:space="preserve">Banjaran Asset Management </t>
  </si>
  <si>
    <t>ILSUNG Construction Co.,Ltd</t>
  </si>
  <si>
    <t>Morhor Norkor Construction</t>
  </si>
  <si>
    <t>ILSUNG Construction co,.Ltd.</t>
  </si>
  <si>
    <t>China Railway International Group</t>
  </si>
  <si>
    <t>Rose Apple Square</t>
  </si>
  <si>
    <t>RS Resident</t>
  </si>
  <si>
    <t>HGB</t>
  </si>
  <si>
    <t>Borey Vimean Phnom Penh</t>
  </si>
  <si>
    <t>Hanshin Engineer &amp; Construction Co., ltd</t>
  </si>
  <si>
    <t>Henan Provincial Communication Planning &amp; Design Institute</t>
  </si>
  <si>
    <t>National Social Security Fund Project</t>
  </si>
  <si>
    <t xml:space="preserve">Cambo Sporting </t>
  </si>
  <si>
    <t>Cambodia Airport Investment Co., LTD</t>
  </si>
  <si>
    <t>FOCUS PROPERTY CO.,LTD</t>
  </si>
  <si>
    <t>Health Agency Cambodia CO., LTD</t>
  </si>
  <si>
    <t>PCD Group</t>
  </si>
  <si>
    <t>No Company</t>
  </si>
  <si>
    <t>Borey Golden Park</t>
  </si>
  <si>
    <t>B20 GROUP</t>
  </si>
  <si>
    <t>Samrors Thomachet</t>
  </si>
  <si>
    <t>Borey peng Huoth</t>
  </si>
  <si>
    <t>The Techo Air Port Project</t>
  </si>
  <si>
    <t>RECOFTC organization</t>
  </si>
  <si>
    <t>T-RO Construction</t>
  </si>
  <si>
    <t>Indochina Agri Culture Processing Co., Ltd</t>
  </si>
  <si>
    <t>Daun Penh Tada bokor Co., ltd</t>
  </si>
  <si>
    <t>HJC Co., Ltd</t>
  </si>
  <si>
    <t>KH Land Co., Ltd</t>
  </si>
  <si>
    <t>Piik mall (E-Commerce)</t>
  </si>
  <si>
    <t>Taing Cheng Oing Construction Co., Ltd</t>
  </si>
  <si>
    <t>CHIP MONG LAND</t>
  </si>
  <si>
    <t>Prime MF Microfinance</t>
  </si>
  <si>
    <t>KARANAK KOI CAFE PTE LTD</t>
  </si>
  <si>
    <t>Asean works  Recruitment</t>
  </si>
  <si>
    <t>Aplus Consulting.</t>
  </si>
  <si>
    <t>Angkor Dairy Products Co.; Ltd</t>
  </si>
  <si>
    <t>HGB Motors Assembly Co., Ltd.</t>
  </si>
  <si>
    <t>HLH Group</t>
  </si>
  <si>
    <t>Sor Yim Transportation Co., Ltd</t>
  </si>
  <si>
    <t>Cambrew LTD.</t>
  </si>
  <si>
    <t>JS Victory International Co., LTD</t>
  </si>
  <si>
    <t>PSS Cambodia Co.,Ltd</t>
  </si>
  <si>
    <t>Corporation Co., Ltd.</t>
  </si>
  <si>
    <t>Hattha bank</t>
  </si>
  <si>
    <t>Amret</t>
  </si>
  <si>
    <t>Leader Bridge Institude</t>
  </si>
  <si>
    <t>Champey and Bakery</t>
  </si>
  <si>
    <t>sccan</t>
  </si>
  <si>
    <t>Canadia Bank</t>
  </si>
  <si>
    <t>Hanuman Berverage Co., Ltd</t>
  </si>
  <si>
    <t>Longbay Hotel</t>
  </si>
  <si>
    <t>TH F&amp;B Co., ltd</t>
  </si>
  <si>
    <t>c21 Clinic Group</t>
  </si>
  <si>
    <t>CIA Fisrt International Scjhool</t>
  </si>
  <si>
    <t>AMZ Mircrofinance</t>
  </si>
  <si>
    <t>SVI (AEC) COMPANY LIMITED</t>
  </si>
  <si>
    <t>Straight Roofing</t>
  </si>
  <si>
    <t xml:space="preserve">NEX-TAPPAREL(CAMBODIA)CO.,LTD </t>
  </si>
  <si>
    <t>Jay &amp; Partners</t>
  </si>
  <si>
    <t xml:space="preserve">SRPD Group Co., Ltd </t>
  </si>
  <si>
    <t>TFOCUS (Cambodia) Co., Ltd</t>
  </si>
  <si>
    <t>Cotafer</t>
  </si>
  <si>
    <t>Phone Mobile Service Center Co., Ltd</t>
  </si>
  <si>
    <t>GDT Taxation of Cambodia</t>
  </si>
  <si>
    <t>Camko Brothers</t>
  </si>
  <si>
    <t>Goldaen Park</t>
  </si>
  <si>
    <t>Borey Mongkul Phnom Penh</t>
  </si>
  <si>
    <t xml:space="preserve">PSC Computer </t>
  </si>
  <si>
    <t>AMZ Microfinance Institution</t>
  </si>
  <si>
    <t>Borey Williams Co., Ltd.</t>
  </si>
  <si>
    <t>KANEKO Development co. ltd</t>
  </si>
  <si>
    <t>Schneider Electric Overseas</t>
  </si>
  <si>
    <t>PHNOM PENH LAND DEVELOPMENT</t>
  </si>
  <si>
    <t>DH3 Group</t>
  </si>
  <si>
    <t>SOMA Construction &amp; Development CO., LTD</t>
  </si>
  <si>
    <t>MES Construction</t>
  </si>
  <si>
    <t>Road Light</t>
  </si>
  <si>
    <t>ALL IM-EX AND PROSERVICE CO.,LTD</t>
  </si>
  <si>
    <t>Olympia Medical Hub,</t>
  </si>
  <si>
    <t>Vattanac Brewery</t>
  </si>
  <si>
    <t>CCOP</t>
  </si>
  <si>
    <t>Computer Shop, PPTC</t>
  </si>
  <si>
    <t>Milky Way School</t>
  </si>
  <si>
    <t>Appeal of Court Phnom Penh</t>
  </si>
  <si>
    <t>ALIS School</t>
  </si>
  <si>
    <t>Star Coating Solution</t>
  </si>
  <si>
    <t>The Association of banks</t>
  </si>
  <si>
    <t>Anco Brother</t>
  </si>
  <si>
    <t>Own small business</t>
  </si>
  <si>
    <t>Lorn Mao trading</t>
  </si>
  <si>
    <t>Daun Penh Trading</t>
  </si>
  <si>
    <t>Gold wings venture</t>
  </si>
  <si>
    <t>BPC</t>
  </si>
  <si>
    <t>Malson De mae</t>
  </si>
  <si>
    <t>Loma Group</t>
  </si>
  <si>
    <t>Chaktomuk City Real-estate Development</t>
  </si>
  <si>
    <t>Chestertons Cambodia</t>
  </si>
  <si>
    <t>Kanika Vattanac Leakhena</t>
  </si>
  <si>
    <t>Agent Tommy Co. Ltd</t>
  </si>
  <si>
    <t>BoreyPeng Huoth</t>
  </si>
  <si>
    <t>Intellect</t>
  </si>
  <si>
    <t>Flatiron</t>
  </si>
  <si>
    <t>RK Premier Hospital</t>
  </si>
  <si>
    <t>STSK Investment Group Limited.</t>
  </si>
  <si>
    <t>Presently CF Service Cooperate Co,.ltd (Logistic</t>
  </si>
  <si>
    <t>EZECOM CO., LTD and TELCOTECH LTD.</t>
  </si>
  <si>
    <t>U-Life Super App Campany.</t>
  </si>
  <si>
    <t>Vattanac Bank</t>
  </si>
  <si>
    <t>Zhong Ying International School</t>
  </si>
  <si>
    <t>Borey Chankiri1</t>
  </si>
  <si>
    <t>Xamat Hotel</t>
  </si>
  <si>
    <t>EAC CONSTRUCTION</t>
  </si>
  <si>
    <t>Phrasartmeas mfi, Cambodia</t>
  </si>
  <si>
    <t>CP CAMBODIA CO., LTD</t>
  </si>
  <si>
    <t>Wow Now</t>
  </si>
  <si>
    <t>Bridge Bank</t>
  </si>
  <si>
    <t>Rosemarvel Property Dev. Co., Ltd.</t>
  </si>
  <si>
    <t>The Terior : TUX Global Institute (Renovate)</t>
  </si>
  <si>
    <t>GGEAR GROUP CO.,LTD</t>
  </si>
  <si>
    <t>Numxicam Co., Ltd</t>
  </si>
  <si>
    <t>PPS</t>
  </si>
  <si>
    <t>frogsell</t>
  </si>
  <si>
    <t>SKNN Investment Co., LTD</t>
  </si>
  <si>
    <t>BSN Construction Co., Ltd.</t>
  </si>
  <si>
    <t>BOREY PENG HUOTH</t>
  </si>
  <si>
    <t>Chea Ry</t>
  </si>
  <si>
    <t>Goody Shop</t>
  </si>
  <si>
    <t>Aligo Co., Ltd</t>
  </si>
  <si>
    <t xml:space="preserve">SORSOR ARCHITECT </t>
  </si>
  <si>
    <t>Li Hao Hotel and Casino</t>
  </si>
  <si>
    <t>Hong Leong Bank</t>
  </si>
  <si>
    <t>WOWNOW</t>
  </si>
  <si>
    <t>T.C.M. Engineering Company., Ltd</t>
  </si>
  <si>
    <t>Dolphin International Transportation Co., Ltd</t>
  </si>
  <si>
    <t>DKSH Cambodia</t>
  </si>
  <si>
    <t>EZECOM Co., Ltd.</t>
  </si>
  <si>
    <t>Cambodia Asia Bank</t>
  </si>
  <si>
    <t>Clinic Panacea</t>
  </si>
  <si>
    <t>Lolane Cambodian.</t>
  </si>
  <si>
    <t>Koh Apikjun Resort</t>
  </si>
  <si>
    <t>Chip Mong Retail</t>
  </si>
  <si>
    <t>I.M. H Construction Co., LTD</t>
  </si>
  <si>
    <t>Fraktal Construction Company</t>
  </si>
  <si>
    <t>SHOP DRAWING ENGINEER</t>
  </si>
  <si>
    <t>Century 21 Golden Realty</t>
  </si>
  <si>
    <t>Dyvith Hotel</t>
  </si>
  <si>
    <t>TOA Paint Cambodia</t>
  </si>
  <si>
    <t>ANGKOR Prototype</t>
  </si>
  <si>
    <t>Cambodian Derivatives Exchange</t>
  </si>
  <si>
    <t>Sinh Hak Hout Home Mart</t>
  </si>
  <si>
    <t>Professional Trading</t>
  </si>
  <si>
    <t>PP Link Securities Co., Ltd</t>
  </si>
  <si>
    <t>Peninsula</t>
  </si>
  <si>
    <t>Property-Innovation ( TKRoyal One Condo )</t>
  </si>
  <si>
    <t>FWI -TL AIR EXPRESS, WAREHOUSE ONE ENTERPRISE</t>
  </si>
  <si>
    <t>Bravo Advertising Agency</t>
  </si>
  <si>
    <t>SCE</t>
  </si>
  <si>
    <t>BOSBA PROPERTY CO., LTD</t>
  </si>
  <si>
    <t>XANHSM CO., LTD,</t>
  </si>
  <si>
    <t>Heng He (Cambodia) Commercial Bank Plc.</t>
  </si>
  <si>
    <t>PT Mitra Adiperkasa</t>
  </si>
  <si>
    <t>PTC GROUP</t>
  </si>
  <si>
    <t>T2 Plus Co., Ltd</t>
  </si>
  <si>
    <t>LAVISH HOME BUILD</t>
  </si>
  <si>
    <t>Construction Company</t>
  </si>
  <si>
    <t>DPVN</t>
  </si>
  <si>
    <t>Fortune Life Insurance</t>
  </si>
  <si>
    <t>The Peninsula Capital.</t>
  </si>
  <si>
    <t>Borey Lim Cheanghak, Engineering &amp; Construction Co., LTD</t>
  </si>
  <si>
    <t>CAMBODIAN DERIVATIVES EXCHANGE</t>
  </si>
  <si>
    <t>S.C Food Product Co., ltd</t>
  </si>
  <si>
    <t>KFOUR Group</t>
  </si>
  <si>
    <t>Communication at Hang Meas HD TV</t>
  </si>
  <si>
    <t>Chaktomuk Pest Services Co.,LTD</t>
  </si>
  <si>
    <t>AZI E&amp;C Co., Ltd OBAYASHI Co., Ltd ILSUNG CIENCO1 Co., Ltd</t>
  </si>
  <si>
    <t>HON ZHAO</t>
  </si>
  <si>
    <t>Shanti Volunteer Association</t>
  </si>
  <si>
    <t xml:space="preserve">Cambodia Noble Food </t>
  </si>
  <si>
    <t>SIMPLEX CAMBODIA CO., LTD</t>
  </si>
  <si>
    <t>MW Metropolitan International</t>
  </si>
  <si>
    <t>Aeon 1</t>
  </si>
  <si>
    <t>SAMAKY Capital Plc</t>
  </si>
  <si>
    <t>Ly Hour Insurance Plc</t>
  </si>
  <si>
    <t>21 Centtury</t>
  </si>
  <si>
    <t>Heng Piv Plastic Co.,Ltd</t>
  </si>
  <si>
    <t>Mekong Land</t>
  </si>
  <si>
    <t>Mountain Concrete</t>
  </si>
  <si>
    <t>Annam Cambodia Limited</t>
  </si>
  <si>
    <t>THE FLORA SUITES</t>
  </si>
  <si>
    <t>Zannier Hotel</t>
  </si>
  <si>
    <t>Ministry of Planning</t>
  </si>
  <si>
    <t>GC City Co., Ltd.</t>
  </si>
  <si>
    <t>CL Cargo logistic</t>
  </si>
  <si>
    <t>Forte Insurance</t>
  </si>
  <si>
    <t>E water Company</t>
  </si>
  <si>
    <t>Sok Sokha</t>
  </si>
  <si>
    <t>Bureau Veritas</t>
  </si>
  <si>
    <t>Asia Master Cambodia</t>
  </si>
  <si>
    <t>Chorn Chenda</t>
  </si>
  <si>
    <t>KB Finance</t>
  </si>
  <si>
    <t>Leerich Cambodia</t>
  </si>
  <si>
    <t>Rice ball Cambodia</t>
  </si>
  <si>
    <t>North Park Condominium</t>
  </si>
  <si>
    <t>Borey Downtown</t>
  </si>
  <si>
    <t>Chip Mong Super Market</t>
  </si>
  <si>
    <t>Pong Cambodia</t>
  </si>
  <si>
    <t>Addidas</t>
  </si>
  <si>
    <t>AIS School</t>
  </si>
  <si>
    <t>UNC IT Support</t>
  </si>
  <si>
    <t>Era Gold Spring Water</t>
  </si>
  <si>
    <t>Himawari</t>
  </si>
  <si>
    <t>LD and sastra Film</t>
  </si>
  <si>
    <t>Hanuman Anajak estate</t>
  </si>
  <si>
    <t>Intertek Testing Service</t>
  </si>
  <si>
    <t>HKJL Transportation</t>
  </si>
  <si>
    <t>Fimaly Business</t>
  </si>
  <si>
    <t>Sokimex Import export</t>
  </si>
  <si>
    <t>Battambang Agro-Industry</t>
  </si>
  <si>
    <t>WorldBridge Group of Companies (WBG)</t>
  </si>
  <si>
    <t>ML Mongkul Realty</t>
  </si>
  <si>
    <t>Borey Blue Diamond</t>
  </si>
  <si>
    <t>E Money Payment Solution</t>
  </si>
  <si>
    <t>Freelance</t>
  </si>
  <si>
    <t>Lee's Food service</t>
  </si>
  <si>
    <t>Olympia City</t>
  </si>
  <si>
    <t>Tipco Asphalt</t>
  </si>
  <si>
    <t>Oxley-Worldbridge</t>
  </si>
  <si>
    <t xml:space="preserve">Caltex Angkor Phnom Penh </t>
  </si>
  <si>
    <t xml:space="preserve">Archi Group </t>
  </si>
  <si>
    <t>CUBC Bank</t>
  </si>
  <si>
    <t>Siem Reap Angkor Real Estate</t>
  </si>
  <si>
    <t xml:space="preserve">Anackak Keyla shop </t>
  </si>
  <si>
    <t xml:space="preserve">Milky way School </t>
  </si>
  <si>
    <t>Artisans d’Angkor</t>
  </si>
  <si>
    <t>Modern Gas</t>
  </si>
  <si>
    <t>Panharith Printer</t>
  </si>
  <si>
    <t>Self-employed</t>
  </si>
  <si>
    <t>2M Social Media</t>
  </si>
  <si>
    <t>JCM Nippon Cambodia</t>
  </si>
  <si>
    <t>Khmernas</t>
  </si>
  <si>
    <t>The Coffee Bean</t>
  </si>
  <si>
    <t>CEN Cambodia Express News</t>
  </si>
  <si>
    <t xml:space="preserve">Blackwell Global Cambodia </t>
  </si>
  <si>
    <t>Orkin Cambodia</t>
  </si>
  <si>
    <t xml:space="preserve">Hong Kong Shop </t>
  </si>
  <si>
    <t>Tommy Media</t>
  </si>
  <si>
    <t xml:space="preserve">Makkah Land </t>
  </si>
  <si>
    <t>Borey Peng Hout</t>
  </si>
  <si>
    <t xml:space="preserve">Rak Centre </t>
  </si>
  <si>
    <t>Cambodian Civil Society Partnership (CCSP)</t>
  </si>
  <si>
    <t>Borey Nyly</t>
  </si>
  <si>
    <t>CDSE Property Solution</t>
  </si>
  <si>
    <t>Renet Japan Cambodia Co., Ltd</t>
  </si>
  <si>
    <t>Lee’s Food Service</t>
  </si>
  <si>
    <t>Hattha Bank Plc</t>
  </si>
  <si>
    <t>Servier International</t>
  </si>
  <si>
    <t>Cashier/Account Assistant</t>
  </si>
  <si>
    <t>Peng Huoth Group</t>
  </si>
  <si>
    <t>PHNOM PENH PRECAST PLANTS CO.,LTD</t>
  </si>
  <si>
    <t xml:space="preserve">D.N.T Constrution Trading Service </t>
  </si>
  <si>
    <t>Jalat Logistics</t>
  </si>
  <si>
    <t>PASTEUR SQUARE</t>
  </si>
  <si>
    <t>Sale showroom</t>
  </si>
  <si>
    <t>Angkor Khmer Guest House</t>
  </si>
  <si>
    <t>AIS</t>
  </si>
  <si>
    <t>Villa Resort Ream</t>
  </si>
  <si>
    <t>DYP Organization</t>
  </si>
  <si>
    <t>LIMGROUP</t>
  </si>
  <si>
    <t xml:space="preserve">Borey Piphup Thmey </t>
  </si>
  <si>
    <t>SINGBUILD Construction CO., ltd</t>
  </si>
  <si>
    <t>Family Business</t>
  </si>
  <si>
    <t>SOUTH EAST ASIA TELECOM</t>
  </si>
  <si>
    <t xml:space="preserve">Technical Bread </t>
  </si>
  <si>
    <t xml:space="preserve">Aeon </t>
  </si>
  <si>
    <t>KCulture</t>
  </si>
  <si>
    <t xml:space="preserve">Kim Mart </t>
  </si>
  <si>
    <t>Lelot Cambodia</t>
  </si>
  <si>
    <t>Century Group</t>
  </si>
  <si>
    <t>Creed Group</t>
  </si>
  <si>
    <t xml:space="preserve">Rose Marvel Development </t>
  </si>
  <si>
    <t>CLMV capital Asia Pawn Shop</t>
  </si>
  <si>
    <t xml:space="preserve">R-Y Distribution </t>
  </si>
  <si>
    <t>LIAN FADA CO., LTD</t>
  </si>
  <si>
    <t xml:space="preserve">Overseas Cambodia Investment Corporation </t>
  </si>
  <si>
    <t>Hotel Cambodiana</t>
  </si>
  <si>
    <t xml:space="preserve">AQUARII BD (CAMBODIA) CO., LTD </t>
  </si>
  <si>
    <t>Mith Samlanh Organization</t>
  </si>
  <si>
    <t>Korean Company</t>
  </si>
  <si>
    <t xml:space="preserve">East Asia Management University </t>
  </si>
  <si>
    <t xml:space="preserve">Chip Mong </t>
  </si>
  <si>
    <t xml:space="preserve">Borey Heang </t>
  </si>
  <si>
    <t>VEKMAN SAKURA</t>
  </si>
  <si>
    <t>NeocomISP Limited</t>
  </si>
  <si>
    <t>ZW STEEL STRUCTURE CO., LTD</t>
  </si>
  <si>
    <t>HNH Commercial Residences</t>
  </si>
  <si>
    <t>Y Chhe Group</t>
  </si>
  <si>
    <t>Speed Pay PLC</t>
  </si>
  <si>
    <t xml:space="preserve">Sunshine Family Park </t>
  </si>
  <si>
    <t>Branch of Shinryo Corporation</t>
  </si>
  <si>
    <t>HGB Food Industry</t>
  </si>
  <si>
    <t>Overseas Shipping Company</t>
  </si>
  <si>
    <t>CPCN &amp; TVTK Xay Dung RD</t>
  </si>
  <si>
    <t>ASIA READY TRAVEL &amp; TOURS</t>
  </si>
  <si>
    <t>Korean Family Business</t>
  </si>
  <si>
    <t>OXYGEN GROUP</t>
  </si>
  <si>
    <t>SOGC company</t>
  </si>
  <si>
    <t>EZECOM CO., LTD</t>
  </si>
  <si>
    <t>Orienda International Hospital</t>
  </si>
  <si>
    <t>Korean Sunbird</t>
  </si>
  <si>
    <t>Royal Cambodian Limousine Service</t>
  </si>
  <si>
    <t>CDL-HR</t>
  </si>
  <si>
    <t>Helistar Cambodia</t>
  </si>
  <si>
    <t>Dragon Land</t>
  </si>
  <si>
    <t xml:space="preserve">Tipco Asphalt </t>
  </si>
  <si>
    <t>Vattanac Golf Resort</t>
  </si>
  <si>
    <t>Elegance Dental Clinic</t>
  </si>
  <si>
    <t>Borey YCG</t>
  </si>
  <si>
    <t>CAREALL Distribution</t>
  </si>
  <si>
    <t>Borey Phnom Penh Sok San</t>
  </si>
  <si>
    <t>GreenFeed(Cambodia) Co.,Ltd</t>
  </si>
  <si>
    <t>Mistine Cambodia</t>
  </si>
  <si>
    <t>Uniliver</t>
  </si>
  <si>
    <t>CAM-ICARE CAMBODIA</t>
  </si>
  <si>
    <t>Angkor Cambodia</t>
  </si>
  <si>
    <t>Ream YoHo Resort</t>
  </si>
  <si>
    <t>Queen Building</t>
  </si>
  <si>
    <t>Cambodian Noble Taste Food Co., Ltd</t>
  </si>
  <si>
    <t xml:space="preserve">Kabbas </t>
  </si>
  <si>
    <t>Tela Petroleum Group</t>
  </si>
  <si>
    <t>Vattanac Investment Limited</t>
  </si>
  <si>
    <t>KILAT EVENTS</t>
  </si>
  <si>
    <t>Amazon Café</t>
  </si>
  <si>
    <t>P.A.K Co., Ltd</t>
  </si>
  <si>
    <t>NIF (Rice Contribution)</t>
  </si>
  <si>
    <t>Agricultural and Rural Development Bank (ARDB)</t>
  </si>
  <si>
    <t>BIGEIGHT Co., LTD</t>
  </si>
  <si>
    <t>Food Panda</t>
  </si>
  <si>
    <t>Zara Inditex</t>
  </si>
  <si>
    <t>LocknLock cambodia</t>
  </si>
  <si>
    <t>PHS Asia</t>
  </si>
  <si>
    <t>BOREY HENG BORIN</t>
  </si>
  <si>
    <t>Wood Wor</t>
  </si>
  <si>
    <t>De Heus</t>
  </si>
  <si>
    <t>HR Heart Recruitment</t>
  </si>
  <si>
    <t>Bureau Veritas Co, LTD</t>
  </si>
  <si>
    <t>Beverage United Co.,Ltd</t>
  </si>
  <si>
    <t>Truemoney Cambodia</t>
  </si>
  <si>
    <t>SPG One Dream Co., Ltd</t>
  </si>
  <si>
    <t>Farm Hero</t>
  </si>
  <si>
    <t>Angkor Green Investment and Developmet Co.,Ltd</t>
  </si>
  <si>
    <t>Lee’s Food Service (Cambodia) Co., Ltd</t>
  </si>
  <si>
    <t>Huotraco International LTD</t>
  </si>
  <si>
    <t>Aruna Water</t>
  </si>
  <si>
    <t>SG in Real Estate</t>
  </si>
  <si>
    <t>PP Perfect Products Cambodia Co., LTD</t>
  </si>
  <si>
    <t>FairPlus Supermarket Co., Ltd.</t>
  </si>
  <si>
    <t>Century 21 Cambodia</t>
  </si>
  <si>
    <t>The Gioi Di Dong MWG</t>
  </si>
  <si>
    <t>Vattanac Brewery Co., ltd</t>
  </si>
  <si>
    <t>SL Hi-Tech Co.,LTD</t>
  </si>
  <si>
    <t>Chip Mong Group</t>
  </si>
  <si>
    <t>JS Group</t>
  </si>
  <si>
    <t>Serve Cambodia</t>
  </si>
  <si>
    <t>HGB Group Company</t>
  </si>
  <si>
    <t>Australian International School Phnom Penh (AISPP)</t>
  </si>
  <si>
    <t>Family shop</t>
  </si>
  <si>
    <t>Century21 Mekong</t>
  </si>
  <si>
    <t>CamGSM</t>
  </si>
  <si>
    <t>Hanuman Beverage</t>
  </si>
  <si>
    <t>Bird’s Nest Home (Cambodia)</t>
  </si>
  <si>
    <t>Sr. Online Sales and Marketing</t>
  </si>
  <si>
    <t>Noyakong Group Co., Ltd</t>
  </si>
  <si>
    <t>Navy Drinking Water</t>
  </si>
  <si>
    <t>VATTANAC BREWERY</t>
  </si>
  <si>
    <t>Teuksaat 1001.NGO</t>
  </si>
  <si>
    <t>E LYTHONG CO., LTD</t>
  </si>
  <si>
    <t>Golden Apparel (Cambodia) Ltd</t>
  </si>
  <si>
    <t>SEAT-INC company</t>
  </si>
  <si>
    <t>Fairy Moon of Lim Association</t>
  </si>
  <si>
    <t>MOULTICON (CAMBODIA) Co.,Ltd</t>
  </si>
  <si>
    <t>Hi-Tech Cambodia</t>
  </si>
  <si>
    <t>FEDRICE BATTAMBANG LTD</t>
  </si>
  <si>
    <t>Cambodia University of Management and Technology (CUMT)</t>
  </si>
  <si>
    <t>AJINOMOTO (CAMBODIA) CO., LTD</t>
  </si>
  <si>
    <t>Frogsell application (Link Asia Advertising &amp; Media)</t>
  </si>
  <si>
    <t>Family Shop</t>
  </si>
  <si>
    <t>Influence Agency Real Estate</t>
  </si>
  <si>
    <t>Trading company CCET Co.,Ltd</t>
  </si>
  <si>
    <t>DAU TU SAIGON BINH PHUOC (S B K) Co., Ltd</t>
  </si>
  <si>
    <t>Visaphu Media</t>
  </si>
  <si>
    <t>SlabCheck Engineering Consultant</t>
  </si>
  <si>
    <t>CM Group</t>
  </si>
  <si>
    <t>JDS Co Ltd</t>
  </si>
  <si>
    <t>Panorama Mekong Restaurant and Sky Pub</t>
  </si>
  <si>
    <t>SchneiTec Group</t>
  </si>
  <si>
    <t>PATE MEY MEY989 HANDICRAFT</t>
  </si>
  <si>
    <t>Meas Property GROUP</t>
  </si>
  <si>
    <t>Battambang Agro-industry Co.,Ltd</t>
  </si>
  <si>
    <t>Khorn Thanat Co., Ltd.</t>
  </si>
  <si>
    <t>Kohnan Cambodia CO., LTD</t>
  </si>
  <si>
    <t>NIM MENG GROUP Co Ltd</t>
  </si>
  <si>
    <t>Lookchinjung Cambodia Campany</t>
  </si>
  <si>
    <t>N.M Group</t>
  </si>
  <si>
    <t>Ly Hour Pay Pro</t>
  </si>
  <si>
    <t>VANNDA MEDICAL</t>
  </si>
  <si>
    <t>Powercom group</t>
  </si>
  <si>
    <t>CAMFURNI Co.,Ltd</t>
  </si>
  <si>
    <t>VT Engnieering&amp;Construction</t>
  </si>
  <si>
    <t>Paññāsāstra International School</t>
  </si>
  <si>
    <t>Bali Condo</t>
  </si>
  <si>
    <t>MyHomie App</t>
  </si>
  <si>
    <t>OXLEY WorldBridge (Cambodia) Co., LTD</t>
  </si>
  <si>
    <t>AG Education Group</t>
  </si>
  <si>
    <t>American Corner Cambodia</t>
  </si>
  <si>
    <t>Megadis Co.,Ltd &amp; Soukea Restaurant</t>
  </si>
  <si>
    <t>GGare LG brand shop</t>
  </si>
  <si>
    <t>Canadia Tower</t>
  </si>
  <si>
    <t>TGC (CAMBDIA) Co., LTD</t>
  </si>
  <si>
    <t>EVERLUSH (Bag Manufacturing)</t>
  </si>
  <si>
    <t>Heng Dairy Distributor Limited</t>
  </si>
  <si>
    <t>Heineken Cambodia</t>
  </si>
  <si>
    <t>POMA MEDIA</t>
  </si>
  <si>
    <t>Wide Gate Trans</t>
  </si>
  <si>
    <t>NTC Group</t>
  </si>
  <si>
    <t>Camko Brothers Co, Ltd</t>
  </si>
  <si>
    <t>Consulting on Law and Business Club (CLBC)</t>
  </si>
  <si>
    <t>88 Construction &amp; Project Development</t>
  </si>
  <si>
    <t>ATALIAN Global Services</t>
  </si>
  <si>
    <t>800 SUPER GAEA (CAMBODIA) CO., LTD</t>
  </si>
  <si>
    <t>CF Service Cooperate Co,.ltd</t>
  </si>
  <si>
    <t>Vattanac Brewery Co., Ltd</t>
  </si>
  <si>
    <t>TH CVS Co., Ltd</t>
  </si>
  <si>
    <t>Lolane Cambodia com., LTD</t>
  </si>
  <si>
    <t>Koulen</t>
  </si>
  <si>
    <t>Lee’s Food Service Ltd</t>
  </si>
  <si>
    <t>Kin Food and Beverage Co.,Ltd</t>
  </si>
  <si>
    <t>TECHNO PARK</t>
  </si>
  <si>
    <t>NIDEC Die-Casting (Cambodia)Co.,Ltd</t>
  </si>
  <si>
    <t>CamHR Information (Cambodia) Co., Ltd</t>
  </si>
  <si>
    <t>Ta Seth Restaurant</t>
  </si>
  <si>
    <t>Camland Rice</t>
  </si>
  <si>
    <t>Chevron (Cambodia) Limited</t>
  </si>
  <si>
    <t>SPA Hospitality</t>
  </si>
  <si>
    <t>GreenFeed Cambodia Co.,LTD</t>
  </si>
  <si>
    <t>Institute of Finance and Accounting</t>
  </si>
  <si>
    <t>Boeung Kok Dental Suply Co,ltd</t>
  </si>
  <si>
    <t>PHV Construction &amp; Maisak Furniture Co., Ltd</t>
  </si>
  <si>
    <t>Borey Lim Chhenghak</t>
  </si>
  <si>
    <t>DFC</t>
  </si>
  <si>
    <t>C &amp; T Advertising Pte</t>
  </si>
  <si>
    <t>Taskforce</t>
  </si>
  <si>
    <t>Fitflop</t>
  </si>
  <si>
    <t>Pheng Raksmey Rattanak Group Co., Ltd</t>
  </si>
  <si>
    <t>Makro (Cambodia) Limited</t>
  </si>
  <si>
    <t>ALIGO Co., LTD</t>
  </si>
  <si>
    <t>Vast Company</t>
  </si>
  <si>
    <t>Louisiana Famous Fried Chicken</t>
  </si>
  <si>
    <t>Wing Bank (Cambodia) Plc</t>
  </si>
  <si>
    <t>7-Eleven Cambodia</t>
  </si>
  <si>
    <t>CF Mey Co., Ltd</t>
  </si>
  <si>
    <t>RESIDENCE BEDDING &amp; FURNITURE CO.,LTD</t>
  </si>
  <si>
    <t>Hanuman Estate</t>
  </si>
  <si>
    <t>RMO Technology Co., Ltd</t>
  </si>
  <si>
    <t>King Plus Co., Ltd</t>
  </si>
  <si>
    <t>Courtyard By Marriott</t>
  </si>
  <si>
    <t>TANG Alliance</t>
  </si>
  <si>
    <t>Hong Hea Technology Co., Ltd</t>
  </si>
  <si>
    <t>HP OPTOMETRY CENTRE CO., LTD</t>
  </si>
  <si>
    <t>Prudential Cambodia Insurance Plc</t>
  </si>
  <si>
    <t>Pisnuk Auto Tech Co., Ltd</t>
  </si>
  <si>
    <t>PH Grand Hall</t>
  </si>
  <si>
    <t>VATTANAVAC BREWERY CO.,LTD</t>
  </si>
  <si>
    <t>TEPI AGRO INVESTMENT CO., LTD</t>
  </si>
  <si>
    <t>OfficePro Cambodia Co.,Ltd</t>
  </si>
  <si>
    <t>Biz Express</t>
  </si>
  <si>
    <t>TH Retail Group</t>
  </si>
  <si>
    <t>Herbalife (Cambodia) Co., LTD</t>
  </si>
  <si>
    <t>Heineken (Cambodia)</t>
  </si>
  <si>
    <t>Branch of Thai Samsung Electronics Co., Ltd</t>
  </si>
  <si>
    <t>GREEN LOAN Finance Plc</t>
  </si>
  <si>
    <t>Cambodian Noble Taste Food Co.,ltd</t>
  </si>
  <si>
    <t>CMK PLC</t>
  </si>
  <si>
    <t>DV PAY Plc</t>
  </si>
  <si>
    <t>BS Land and Home</t>
  </si>
  <si>
    <t>LX Group</t>
  </si>
  <si>
    <t>Vattanac Group</t>
  </si>
  <si>
    <t>The Cabinet Restaurant Co., Ltd</t>
  </si>
  <si>
    <t>Indra Hotel</t>
  </si>
  <si>
    <t>AEON CAMBODIA</t>
  </si>
  <si>
    <t>Master Sukisoup Co.Ltd</t>
  </si>
  <si>
    <t>Konkambeth Market</t>
  </si>
  <si>
    <t>OB Trading Co.,Ltd</t>
  </si>
  <si>
    <t>ABC Green Supply Co., LTD</t>
  </si>
  <si>
    <t>La-Pensee</t>
  </si>
  <si>
    <t>Sales Showroom</t>
  </si>
  <si>
    <t>ETS Company</t>
  </si>
  <si>
    <t>Watch Empire Co., Ltd</t>
  </si>
  <si>
    <t>HGB Commercial (Under HGB Group)</t>
  </si>
  <si>
    <t>Meas Property Management Co., Ltd</t>
  </si>
  <si>
    <t>Kiri Architect Co.,LTD</t>
  </si>
  <si>
    <t>VATTANAC BREWERY CO., LTD</t>
  </si>
  <si>
    <t>Lucky Supermarket</t>
  </si>
  <si>
    <t>B.Y.G World Wide Group. Co.,Lt</t>
  </si>
  <si>
    <t>Fine Flooring (Cambodia)Co.,LTD</t>
  </si>
  <si>
    <t>GDC Cambodia</t>
  </si>
  <si>
    <t>UST Company</t>
  </si>
  <si>
    <t>Buntha Concrete</t>
  </si>
  <si>
    <t>PAPA JOHN PIZZA</t>
  </si>
  <si>
    <t>KPCC-KP</t>
  </si>
  <si>
    <t>Talentnet Cambodia</t>
  </si>
  <si>
    <t>Outsourcing Services</t>
  </si>
  <si>
    <t xml:space="preserve"> </t>
  </si>
  <si>
    <t>Engineering Solutions</t>
  </si>
  <si>
    <t>Microfinance</t>
  </si>
  <si>
    <t>Restaurant</t>
  </si>
  <si>
    <t>Manufacturing</t>
  </si>
  <si>
    <t>Event Management</t>
  </si>
  <si>
    <t>Condo and Community Space</t>
  </si>
  <si>
    <t>Retails</t>
  </si>
  <si>
    <t xml:space="preserve">  </t>
  </si>
  <si>
    <t>Trading</t>
  </si>
  <si>
    <t>Medical</t>
  </si>
  <si>
    <t>NGO</t>
  </si>
  <si>
    <t>Legal</t>
  </si>
  <si>
    <t>Commercial Building</t>
  </si>
  <si>
    <t>Hotel and Hospitality</t>
  </si>
  <si>
    <t>Banking</t>
  </si>
  <si>
    <t>Cosmetics</t>
  </si>
  <si>
    <t>Insurance</t>
  </si>
  <si>
    <t>Logistics</t>
  </si>
  <si>
    <t>Quality Assurance Solutions</t>
  </si>
  <si>
    <t>Customer Service Agent</t>
  </si>
  <si>
    <t>Hotel and Apartment</t>
  </si>
  <si>
    <t>Film</t>
  </si>
  <si>
    <t>Food and Beverage</t>
  </si>
  <si>
    <t>Printing House</t>
  </si>
  <si>
    <t>Media</t>
  </si>
  <si>
    <t>Design</t>
  </si>
  <si>
    <t>Cleaning Services</t>
  </si>
  <si>
    <t>Internet Provider</t>
  </si>
  <si>
    <t>Comestic</t>
  </si>
  <si>
    <t>Gasolin</t>
  </si>
  <si>
    <t>Food Service</t>
  </si>
  <si>
    <t>Farm and Mart</t>
  </si>
  <si>
    <t>Engergy</t>
  </si>
  <si>
    <t>Education &amp; Training</t>
  </si>
  <si>
    <t>MEP, Engineering, Solar, F&amp;B &amp; Trading</t>
  </si>
  <si>
    <t>Real Estate &amp; Construction</t>
  </si>
  <si>
    <t>Chan Sam Onn</t>
  </si>
  <si>
    <t>Phin Vanna</t>
  </si>
  <si>
    <t>Seang Sokha</t>
  </si>
  <si>
    <t>Lengcheng Vy</t>
  </si>
  <si>
    <t>Lim Sovannchanliza</t>
  </si>
  <si>
    <t>Taing Pengpheng</t>
  </si>
  <si>
    <t>Sim Sreyleak</t>
  </si>
  <si>
    <t>Nget Synat</t>
  </si>
  <si>
    <t>Hout Rothana</t>
  </si>
  <si>
    <t>Keo Luykorn</t>
  </si>
  <si>
    <t>Meas Chanrathanak</t>
  </si>
  <si>
    <t>Man Sokunthea</t>
  </si>
  <si>
    <t>Hou Sunsrun</t>
  </si>
  <si>
    <t>Sreng Leangkheng</t>
  </si>
  <si>
    <t>Toem Sreylin</t>
  </si>
  <si>
    <t>Yon Borin</t>
  </si>
  <si>
    <t>Yech Cheavlay</t>
  </si>
  <si>
    <t>Kuy Chin Uy</t>
  </si>
  <si>
    <t>Pil Kun</t>
  </si>
  <si>
    <t>Din Chansocheat</t>
  </si>
  <si>
    <t>Kuy Lyneat</t>
  </si>
  <si>
    <t>Koch Oudom</t>
  </si>
  <si>
    <t>Carlos Jr</t>
  </si>
  <si>
    <t>Chuon Sorathana</t>
  </si>
  <si>
    <t>Chheurt Sophanna</t>
  </si>
  <si>
    <t>Im Phanna</t>
  </si>
  <si>
    <t>Lou Sambath</t>
  </si>
  <si>
    <t>Sok Thounkimsorng</t>
  </si>
  <si>
    <t>Mao Sothearith</t>
  </si>
  <si>
    <t>Nol Pichchantha</t>
  </si>
  <si>
    <t>Nov Sokmeng</t>
  </si>
  <si>
    <t>Khom Sovanreach</t>
  </si>
  <si>
    <t>Kim Pharith</t>
  </si>
  <si>
    <t>Yin Sok An.</t>
  </si>
  <si>
    <t>Phon Sopheaktra</t>
  </si>
  <si>
    <t>Um Chansothea</t>
  </si>
  <si>
    <t>Min Myatmin</t>
  </si>
  <si>
    <t>Muhammad Yaseen</t>
  </si>
  <si>
    <t>Ear Nimol</t>
  </si>
  <si>
    <t>Chanthy Sok</t>
  </si>
  <si>
    <t>Rasy Ear</t>
  </si>
  <si>
    <t>Lan Silo</t>
  </si>
  <si>
    <t>Kychivoon</t>
  </si>
  <si>
    <t>Ath Piseth</t>
  </si>
  <si>
    <t>Tep Chantreamanat</t>
  </si>
  <si>
    <t>Sothea Phoeun</t>
  </si>
  <si>
    <t>Ley Vireak</t>
  </si>
  <si>
    <t>Rith Panha</t>
  </si>
  <si>
    <t>Ly Rozan</t>
  </si>
  <si>
    <t>Chheng Yfang</t>
  </si>
  <si>
    <t>Kheav Sokthe</t>
  </si>
  <si>
    <t>Tang Pech</t>
  </si>
  <si>
    <t>Net Khem Nong</t>
  </si>
  <si>
    <t>Bunthong Touch</t>
  </si>
  <si>
    <t>Leng Sunpisey</t>
  </si>
  <si>
    <t>Vanndareth Leng</t>
  </si>
  <si>
    <t>Channa Chhum</t>
  </si>
  <si>
    <t>Chea Tola</t>
  </si>
  <si>
    <t>Tiev Sok Leng</t>
  </si>
  <si>
    <t>Inn Pisa</t>
  </si>
  <si>
    <t>Chhiv Sochea</t>
  </si>
  <si>
    <t>Ieng Sokleang</t>
  </si>
  <si>
    <t>Pov Bunnat</t>
  </si>
  <si>
    <t>Soth Sreyroth</t>
  </si>
  <si>
    <t>Phoun Van Deth</t>
  </si>
  <si>
    <t>Channy Morn</t>
  </si>
  <si>
    <t>Serey Him</t>
  </si>
  <si>
    <t>Kang Souheng</t>
  </si>
  <si>
    <t>Krien Thea</t>
  </si>
  <si>
    <t>Kim Tai</t>
  </si>
  <si>
    <t>Sea Chakrya</t>
  </si>
  <si>
    <t>Tekhor Pheng</t>
  </si>
  <si>
    <t>Phanuth Sophea</t>
  </si>
  <si>
    <t>Hong Sovandara</t>
  </si>
  <si>
    <t>Panha Soksan</t>
  </si>
  <si>
    <t>Rath Sienghai</t>
  </si>
  <si>
    <t>Vann Vuthy</t>
  </si>
  <si>
    <t>Sydavid Dara</t>
  </si>
  <si>
    <t>Gnem Bunthai</t>
  </si>
  <si>
    <t>Nou Vuthy</t>
  </si>
  <si>
    <t>Sodino Suong</t>
  </si>
  <si>
    <t>Ky Sokuntheary</t>
  </si>
  <si>
    <t>Trek Penghy</t>
  </si>
  <si>
    <t>Morm Heam</t>
  </si>
  <si>
    <t>Sar Chhorn Vong Dalyrith</t>
  </si>
  <si>
    <t>Pheng Samnang</t>
  </si>
  <si>
    <t>Pech Sorya</t>
  </si>
  <si>
    <t>Theang Vanda</t>
  </si>
  <si>
    <t>Sophal Meas</t>
  </si>
  <si>
    <t>Nguon Leanghok</t>
  </si>
  <si>
    <t>Kim Oudomkhemara</t>
  </si>
  <si>
    <t>Roeun Soda</t>
  </si>
  <si>
    <t>Om Potthoeun</t>
  </si>
  <si>
    <t>Iev Raksmey</t>
  </si>
  <si>
    <t>Tep Sokna</t>
  </si>
  <si>
    <t>Kun Vathana</t>
  </si>
  <si>
    <t>Uk Sarach</t>
  </si>
  <si>
    <t>Kray Sophorn</t>
  </si>
  <si>
    <t>Hann Khan</t>
  </si>
  <si>
    <t>Khun Phors</t>
  </si>
  <si>
    <t>Chea Oun</t>
  </si>
  <si>
    <t>Khov Chungkheang</t>
  </si>
  <si>
    <t>Heng Lysopheak</t>
  </si>
  <si>
    <t>Bun Ravy</t>
  </si>
  <si>
    <t>Phy Nakry</t>
  </si>
  <si>
    <t>Sao Tim</t>
  </si>
  <si>
    <t>Sam Sonal</t>
  </si>
  <si>
    <t>Sokhom Channa</t>
  </si>
  <si>
    <t>Som Sokvisal</t>
  </si>
  <si>
    <t>Pheng Sothea</t>
  </si>
  <si>
    <t>Sun Sarom</t>
  </si>
  <si>
    <t>Thoun Channin</t>
  </si>
  <si>
    <t>Pai Vannary</t>
  </si>
  <si>
    <t>Kan Ratanak</t>
  </si>
  <si>
    <t>Neang Touch</t>
  </si>
  <si>
    <t>Sao Somnang</t>
  </si>
  <si>
    <t>Phin Saphea</t>
  </si>
  <si>
    <t>Nuth Vibol</t>
  </si>
  <si>
    <t>Nguon Leanghun</t>
  </si>
  <si>
    <t>Moeun Reach</t>
  </si>
  <si>
    <t>Pich Sopheak</t>
  </si>
  <si>
    <t>Sou Roun</t>
  </si>
  <si>
    <t>Try Chamroeun</t>
  </si>
  <si>
    <t>Lo Chanrin</t>
  </si>
  <si>
    <t>Kol Heng</t>
  </si>
  <si>
    <t>Tuy Viphal</t>
  </si>
  <si>
    <t>Yoy Sophachakkol</t>
  </si>
  <si>
    <t>Hang Khemsambo</t>
  </si>
  <si>
    <t>Suon Sreyneth</t>
  </si>
  <si>
    <t>Kheng Bunchhoeun</t>
  </si>
  <si>
    <t>Ek Sopheap</t>
  </si>
  <si>
    <t>Nget Sivutharoth</t>
  </si>
  <si>
    <t>Ly Sokrey</t>
  </si>
  <si>
    <t>C0001</t>
  </si>
  <si>
    <t>C0008</t>
  </si>
  <si>
    <t>C0009</t>
  </si>
  <si>
    <t>C0002</t>
  </si>
  <si>
    <t>C0003</t>
  </si>
  <si>
    <t>C0004</t>
  </si>
  <si>
    <t>C0005</t>
  </si>
  <si>
    <t>C0006</t>
  </si>
  <si>
    <t>C0007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</si>
  <si>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</si>
  <si>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</si>
  <si>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</si>
  <si>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</si>
  <si>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</si>
  <si>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</si>
  <si>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</si>
  <si>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</si>
  <si>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</si>
  <si>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</si>
  <si>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</si>
  <si>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</si>
  <si>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</si>
  <si>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</si>
  <si>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</si>
  <si>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</si>
  <si>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</si>
  <si>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</si>
  <si>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</si>
  <si>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</si>
  <si>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</si>
  <si>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</si>
  <si>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</si>
  <si>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</si>
  <si>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</si>
  <si>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</si>
  <si>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</si>
  <si>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</si>
  <si>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</si>
  <si>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</si>
  <si>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</si>
  <si>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</si>
  <si>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</si>
  <si>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</si>
  <si>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</si>
  <si>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</si>
  <si>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</si>
  <si>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</si>
  <si>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</si>
  <si>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</si>
  <si>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</si>
  <si>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</si>
  <si>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</si>
  <si>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</si>
  <si>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</si>
  <si>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</si>
  <si>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</si>
  <si>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</si>
  <si>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</si>
  <si>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</si>
  <si>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</si>
  <si>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</si>
  <si>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</si>
  <si>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</si>
  <si>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</si>
  <si>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</si>
  <si>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</si>
  <si>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</si>
  <si>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</si>
  <si>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</si>
  <si>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</si>
  <si>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</si>
  <si>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</si>
  <si>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</si>
  <si>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</si>
  <si>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</si>
  <si>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</si>
  <si>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</si>
  <si>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</si>
  <si>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</si>
  <si>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</si>
  <si>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</si>
  <si>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</si>
  <si>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</si>
  <si>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</si>
  <si>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</si>
  <si>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</si>
  <si>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</si>
  <si>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</si>
  <si>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</si>
  <si>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</si>
  <si>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</si>
  <si>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C0092</t>
  </si>
  <si>
    <t>C0093</t>
  </si>
  <si>
    <t>C0094</t>
  </si>
  <si>
    <t>C0095</t>
  </si>
  <si>
    <t>C0096</t>
  </si>
  <si>
    <t>C0097</t>
  </si>
  <si>
    <t>C0098</t>
  </si>
  <si>
    <t>C0099</t>
  </si>
  <si>
    <t>C0100</t>
  </si>
  <si>
    <t>C0101</t>
  </si>
  <si>
    <t>C0102</t>
  </si>
  <si>
    <t>C0103</t>
  </si>
  <si>
    <t>C0104</t>
  </si>
  <si>
    <t>C0105</t>
  </si>
  <si>
    <t>C0106</t>
  </si>
  <si>
    <t>C0107</t>
  </si>
  <si>
    <t>C0108</t>
  </si>
  <si>
    <t>C0109</t>
  </si>
  <si>
    <t>C0110</t>
  </si>
  <si>
    <t>C0111</t>
  </si>
  <si>
    <t>C0112</t>
  </si>
  <si>
    <t>C0113</t>
  </si>
  <si>
    <t>C0114</t>
  </si>
  <si>
    <t>C0115</t>
  </si>
  <si>
    <t>C0116</t>
  </si>
  <si>
    <t>C0117</t>
  </si>
  <si>
    <t>C0118</t>
  </si>
  <si>
    <t>C0119</t>
  </si>
  <si>
    <t>C0120</t>
  </si>
  <si>
    <t>C0121</t>
  </si>
  <si>
    <t>C0122</t>
  </si>
  <si>
    <t>C0123</t>
  </si>
  <si>
    <t>C0124</t>
  </si>
  <si>
    <t>C0125</t>
  </si>
  <si>
    <t>C0126</t>
  </si>
  <si>
    <t>C0127</t>
  </si>
  <si>
    <t>C0128</t>
  </si>
  <si>
    <t>C0129</t>
  </si>
  <si>
    <t>C0130</t>
  </si>
  <si>
    <t>C0131</t>
  </si>
  <si>
    <t>C0132</t>
  </si>
  <si>
    <t>C0133</t>
  </si>
  <si>
    <t>C0134</t>
  </si>
  <si>
    <t>C0135</t>
  </si>
  <si>
    <t>C0136</t>
  </si>
  <si>
    <t>C0137</t>
  </si>
  <si>
    <t>C0138</t>
  </si>
  <si>
    <t>C0139</t>
  </si>
  <si>
    <t>C0140</t>
  </si>
  <si>
    <t>C0141</t>
  </si>
  <si>
    <t>C0142</t>
  </si>
  <si>
    <t>C0143</t>
  </si>
  <si>
    <t>C0144</t>
  </si>
  <si>
    <t>C0145</t>
  </si>
  <si>
    <t>C0146</t>
  </si>
  <si>
    <t>C0147</t>
  </si>
  <si>
    <t>C0148</t>
  </si>
  <si>
    <t>C0149</t>
  </si>
  <si>
    <t>C0150</t>
  </si>
  <si>
    <t>C0151</t>
  </si>
  <si>
    <t>C0152</t>
  </si>
  <si>
    <t>C0153</t>
  </si>
  <si>
    <t>C0154</t>
  </si>
  <si>
    <t>C0155</t>
  </si>
  <si>
    <t>C0156</t>
  </si>
  <si>
    <t>C0157</t>
  </si>
  <si>
    <t>C0158</t>
  </si>
  <si>
    <t>C0159</t>
  </si>
  <si>
    <t>C0160</t>
  </si>
  <si>
    <t>C0161</t>
  </si>
  <si>
    <t>C0162</t>
  </si>
  <si>
    <t>C0163</t>
  </si>
  <si>
    <t>C0164</t>
  </si>
  <si>
    <t>C0165</t>
  </si>
  <si>
    <t>C0166</t>
  </si>
  <si>
    <t>C0167</t>
  </si>
  <si>
    <t>C0168</t>
  </si>
  <si>
    <t>C0169</t>
  </si>
  <si>
    <t>C0170</t>
  </si>
  <si>
    <t>C0171</t>
  </si>
  <si>
    <t>C0172</t>
  </si>
  <si>
    <t>C0173</t>
  </si>
  <si>
    <t>C0174</t>
  </si>
  <si>
    <t>C0175</t>
  </si>
  <si>
    <t>C0176</t>
  </si>
  <si>
    <t>C0177</t>
  </si>
  <si>
    <t>C0178</t>
  </si>
  <si>
    <t>C0179</t>
  </si>
  <si>
    <t>C0180</t>
  </si>
  <si>
    <t>C0181</t>
  </si>
  <si>
    <t>C0182</t>
  </si>
  <si>
    <t>C0183</t>
  </si>
  <si>
    <t>C0184</t>
  </si>
  <si>
    <t>C0185</t>
  </si>
  <si>
    <t>C0186</t>
  </si>
  <si>
    <t>C0187</t>
  </si>
  <si>
    <t>C0188</t>
  </si>
  <si>
    <t>C0189</t>
  </si>
  <si>
    <t>C0190</t>
  </si>
  <si>
    <t>C0191</t>
  </si>
  <si>
    <t>C0192</t>
  </si>
  <si>
    <t>C0193</t>
  </si>
  <si>
    <t>C0194</t>
  </si>
  <si>
    <t>C0195</t>
  </si>
  <si>
    <t>C0196</t>
  </si>
  <si>
    <t>C0197</t>
  </si>
  <si>
    <t>C0198</t>
  </si>
  <si>
    <t>C0199</t>
  </si>
  <si>
    <t>C0200</t>
  </si>
  <si>
    <t>C0201</t>
  </si>
  <si>
    <t>C0202</t>
  </si>
  <si>
    <t>C0203</t>
  </si>
  <si>
    <t>C0204</t>
  </si>
  <si>
    <t>C0205</t>
  </si>
  <si>
    <t>C0206</t>
  </si>
  <si>
    <t>C0207</t>
  </si>
  <si>
    <t>C0208</t>
  </si>
  <si>
    <t>C0209</t>
  </si>
  <si>
    <t>C0210</t>
  </si>
  <si>
    <t>C0211</t>
  </si>
  <si>
    <t>C0212</t>
  </si>
  <si>
    <t>C0213</t>
  </si>
  <si>
    <t>C0214</t>
  </si>
  <si>
    <t>C0215</t>
  </si>
  <si>
    <t>C0216</t>
  </si>
  <si>
    <t>C0217</t>
  </si>
  <si>
    <t>C0218</t>
  </si>
  <si>
    <t>C0219</t>
  </si>
  <si>
    <t>C0220</t>
  </si>
  <si>
    <t>C0221</t>
  </si>
  <si>
    <t>C0222</t>
  </si>
  <si>
    <t>C0223</t>
  </si>
  <si>
    <t>C0224</t>
  </si>
  <si>
    <t>C0225</t>
  </si>
  <si>
    <t>C0226</t>
  </si>
  <si>
    <t>C0227</t>
  </si>
  <si>
    <t>C0228</t>
  </si>
  <si>
    <t>C0229</t>
  </si>
  <si>
    <t>C0230</t>
  </si>
  <si>
    <t>C0231</t>
  </si>
  <si>
    <t>C0232</t>
  </si>
  <si>
    <t>C0233</t>
  </si>
  <si>
    <t>C0234</t>
  </si>
  <si>
    <t>C0235</t>
  </si>
  <si>
    <t>C0236</t>
  </si>
  <si>
    <t>C0237</t>
  </si>
  <si>
    <t>C0238</t>
  </si>
  <si>
    <t>C0239</t>
  </si>
  <si>
    <t>C0240</t>
  </si>
  <si>
    <t>C0241</t>
  </si>
  <si>
    <t>C0242</t>
  </si>
  <si>
    <t>C0243</t>
  </si>
  <si>
    <t>C0244</t>
  </si>
  <si>
    <t>C0245</t>
  </si>
  <si>
    <t>C0246</t>
  </si>
  <si>
    <t>C0247</t>
  </si>
  <si>
    <t>C0248</t>
  </si>
  <si>
    <t>C0249</t>
  </si>
  <si>
    <t>C0250</t>
  </si>
  <si>
    <t>C0251</t>
  </si>
  <si>
    <t>C0252</t>
  </si>
  <si>
    <t>C0253</t>
  </si>
  <si>
    <t>C0254</t>
  </si>
  <si>
    <t>C0255</t>
  </si>
  <si>
    <t>C0256</t>
  </si>
  <si>
    <t>C0257</t>
  </si>
  <si>
    <t>C0258</t>
  </si>
  <si>
    <t>C0259</t>
  </si>
  <si>
    <t>C0260</t>
  </si>
  <si>
    <t>C0261</t>
  </si>
  <si>
    <t>C0262</t>
  </si>
  <si>
    <t>C0263</t>
  </si>
  <si>
    <t>C0264</t>
  </si>
  <si>
    <t>C0265</t>
  </si>
  <si>
    <t>C0266</t>
  </si>
  <si>
    <t>C0267</t>
  </si>
  <si>
    <t>C0268</t>
  </si>
  <si>
    <t>C0269</t>
  </si>
  <si>
    <t>C0270</t>
  </si>
  <si>
    <t>C0271</t>
  </si>
  <si>
    <t>C0272</t>
  </si>
  <si>
    <t>C0273</t>
  </si>
  <si>
    <t>C0274</t>
  </si>
  <si>
    <t>C0275</t>
  </si>
  <si>
    <t>C0276</t>
  </si>
  <si>
    <t>C0277</t>
  </si>
  <si>
    <t>C0278</t>
  </si>
  <si>
    <t>C0279</t>
  </si>
  <si>
    <t>C0280</t>
  </si>
  <si>
    <t>C0281</t>
  </si>
  <si>
    <t>C0282</t>
  </si>
  <si>
    <t>C0283</t>
  </si>
  <si>
    <t>C0284</t>
  </si>
  <si>
    <t>C0285</t>
  </si>
  <si>
    <t>C0286</t>
  </si>
  <si>
    <t>C0287</t>
  </si>
  <si>
    <t>C0288</t>
  </si>
  <si>
    <t>C0289</t>
  </si>
  <si>
    <t>C0290</t>
  </si>
  <si>
    <t>C0291</t>
  </si>
  <si>
    <t>C0292</t>
  </si>
  <si>
    <t>C0293</t>
  </si>
  <si>
    <t>C0294</t>
  </si>
  <si>
    <t>C0295</t>
  </si>
  <si>
    <t>C0296</t>
  </si>
  <si>
    <t>C0297</t>
  </si>
  <si>
    <t>C0298</t>
  </si>
  <si>
    <t>C0299</t>
  </si>
  <si>
    <t>C0300</t>
  </si>
  <si>
    <t>C0301</t>
  </si>
  <si>
    <t>C0302</t>
  </si>
  <si>
    <t>C0303</t>
  </si>
  <si>
    <t>C0304</t>
  </si>
  <si>
    <t>C0305</t>
  </si>
  <si>
    <t>C0306</t>
  </si>
  <si>
    <t>C0307</t>
  </si>
  <si>
    <t>C0308</t>
  </si>
  <si>
    <t>C0309</t>
  </si>
  <si>
    <t>C0310</t>
  </si>
  <si>
    <t>C0311</t>
  </si>
  <si>
    <t>C0312</t>
  </si>
  <si>
    <t>C0313</t>
  </si>
  <si>
    <t>C0314</t>
  </si>
  <si>
    <t>C0315</t>
  </si>
  <si>
    <t>C0316</t>
  </si>
  <si>
    <t>C0317</t>
  </si>
  <si>
    <t>C0318</t>
  </si>
  <si>
    <t>C0319</t>
  </si>
  <si>
    <t>C0320</t>
  </si>
  <si>
    <t>C0321</t>
  </si>
  <si>
    <t>C0322</t>
  </si>
  <si>
    <t>C0323</t>
  </si>
  <si>
    <t>C0324</t>
  </si>
  <si>
    <t>C0325</t>
  </si>
  <si>
    <t>C0326</t>
  </si>
  <si>
    <t>C0327</t>
  </si>
  <si>
    <t>C0328</t>
  </si>
  <si>
    <t>C0329</t>
  </si>
  <si>
    <t>C0330</t>
  </si>
  <si>
    <t>C0331</t>
  </si>
  <si>
    <t>C0332</t>
  </si>
  <si>
    <t>C0333</t>
  </si>
  <si>
    <t>C0334</t>
  </si>
  <si>
    <t>C0335</t>
  </si>
  <si>
    <t>C0336</t>
  </si>
  <si>
    <t>C0337</t>
  </si>
  <si>
    <t>C0338</t>
  </si>
  <si>
    <t>C0339</t>
  </si>
  <si>
    <t>C0340</t>
  </si>
  <si>
    <t>C0341</t>
  </si>
  <si>
    <t>C0342</t>
  </si>
  <si>
    <t>C0343</t>
  </si>
  <si>
    <t>C0344</t>
  </si>
  <si>
    <t>C0345</t>
  </si>
  <si>
    <t>C0346</t>
  </si>
  <si>
    <t>C0347</t>
  </si>
  <si>
    <t>C0348</t>
  </si>
  <si>
    <t>C0349</t>
  </si>
  <si>
    <t>C0350</t>
  </si>
  <si>
    <t>C0351</t>
  </si>
  <si>
    <t>C0352</t>
  </si>
  <si>
    <t>C0353</t>
  </si>
  <si>
    <t>C0354</t>
  </si>
  <si>
    <t>C0355</t>
  </si>
  <si>
    <t>C0356</t>
  </si>
  <si>
    <t>C0357</t>
  </si>
  <si>
    <t>C0358</t>
  </si>
  <si>
    <t>C0359</t>
  </si>
  <si>
    <t>C0360</t>
  </si>
  <si>
    <t>C0361</t>
  </si>
  <si>
    <t>C0362</t>
  </si>
  <si>
    <t>C0363</t>
  </si>
  <si>
    <t>C0364</t>
  </si>
  <si>
    <t>C0365</t>
  </si>
  <si>
    <t>C0366</t>
  </si>
  <si>
    <t>C0367</t>
  </si>
  <si>
    <t>C0368</t>
  </si>
  <si>
    <t>C0369</t>
  </si>
  <si>
    <t>C0370</t>
  </si>
  <si>
    <t>C0371</t>
  </si>
  <si>
    <t>C0372</t>
  </si>
  <si>
    <t>C0373</t>
  </si>
  <si>
    <t>C0374</t>
  </si>
  <si>
    <t>C0375</t>
  </si>
  <si>
    <t>C0376</t>
  </si>
  <si>
    <t>C0377</t>
  </si>
  <si>
    <t>C0378</t>
  </si>
  <si>
    <t>C0379</t>
  </si>
  <si>
    <t>C0380</t>
  </si>
  <si>
    <t>C0381</t>
  </si>
  <si>
    <t>C0382</t>
  </si>
  <si>
    <t>C0383</t>
  </si>
  <si>
    <t>C0384</t>
  </si>
  <si>
    <t>C0385</t>
  </si>
  <si>
    <t>C0386</t>
  </si>
  <si>
    <t>C0387</t>
  </si>
  <si>
    <t>C0388</t>
  </si>
  <si>
    <t>C0389</t>
  </si>
  <si>
    <t>C0390</t>
  </si>
  <si>
    <t>C0391</t>
  </si>
  <si>
    <t>C0392</t>
  </si>
  <si>
    <t>C0393</t>
  </si>
  <si>
    <t>C0394</t>
  </si>
  <si>
    <t>C0395</t>
  </si>
  <si>
    <t>C0396</t>
  </si>
  <si>
    <t>C0397</t>
  </si>
  <si>
    <t>C0398</t>
  </si>
  <si>
    <t>C0399</t>
  </si>
  <si>
    <t>C0400</t>
  </si>
  <si>
    <t>C0401</t>
  </si>
  <si>
    <t>C0402</t>
  </si>
  <si>
    <t>C0403</t>
  </si>
  <si>
    <t>C0404</t>
  </si>
  <si>
    <t>C0405</t>
  </si>
  <si>
    <t>C0406</t>
  </si>
  <si>
    <t>C0407</t>
  </si>
  <si>
    <t>C0408</t>
  </si>
  <si>
    <t>C0409</t>
  </si>
  <si>
    <t>C0410</t>
  </si>
  <si>
    <t>C0411</t>
  </si>
  <si>
    <t>C0412</t>
  </si>
  <si>
    <t>C0413</t>
  </si>
  <si>
    <t>C0414</t>
  </si>
  <si>
    <t>C0415</t>
  </si>
  <si>
    <t>C0416</t>
  </si>
  <si>
    <t>C0417</t>
  </si>
  <si>
    <t>C0418</t>
  </si>
  <si>
    <t>C0419</t>
  </si>
  <si>
    <t>C0420</t>
  </si>
  <si>
    <t>C0421</t>
  </si>
  <si>
    <t>C0422</t>
  </si>
  <si>
    <t>C0423</t>
  </si>
  <si>
    <t>C0424</t>
  </si>
  <si>
    <t>C0425</t>
  </si>
  <si>
    <t>C0426</t>
  </si>
  <si>
    <t>C0427</t>
  </si>
  <si>
    <t>C0428</t>
  </si>
  <si>
    <t>C0429</t>
  </si>
  <si>
    <t>C0430</t>
  </si>
  <si>
    <t>C0431</t>
  </si>
  <si>
    <t>C0432</t>
  </si>
  <si>
    <t>C0433</t>
  </si>
  <si>
    <t>C0434</t>
  </si>
  <si>
    <t>C0435</t>
  </si>
  <si>
    <t>C0436</t>
  </si>
  <si>
    <t>C0437</t>
  </si>
  <si>
    <t>C0438</t>
  </si>
  <si>
    <t>C0439</t>
  </si>
  <si>
    <t>C0440</t>
  </si>
  <si>
    <t>C0441</t>
  </si>
  <si>
    <t>C0442</t>
  </si>
  <si>
    <t>C0443</t>
  </si>
  <si>
    <t>C0444</t>
  </si>
  <si>
    <t>C0445</t>
  </si>
  <si>
    <t>C0446</t>
  </si>
  <si>
    <t>C0447</t>
  </si>
  <si>
    <t>C0448</t>
  </si>
  <si>
    <t>C0449</t>
  </si>
  <si>
    <t>C0450</t>
  </si>
  <si>
    <t>C0451</t>
  </si>
  <si>
    <t>C0452</t>
  </si>
  <si>
    <t>C0453</t>
  </si>
  <si>
    <t>C0454</t>
  </si>
  <si>
    <t>C0455</t>
  </si>
  <si>
    <t>C0456</t>
  </si>
  <si>
    <t>C0457</t>
  </si>
  <si>
    <t>C0458</t>
  </si>
  <si>
    <t>C0459</t>
  </si>
  <si>
    <t>C0460</t>
  </si>
  <si>
    <t>C0461</t>
  </si>
  <si>
    <t>C0462</t>
  </si>
  <si>
    <t>C0463</t>
  </si>
  <si>
    <t>C0464</t>
  </si>
  <si>
    <t>C0465</t>
  </si>
  <si>
    <t>C0466</t>
  </si>
  <si>
    <t>C0467</t>
  </si>
  <si>
    <t>C0468</t>
  </si>
  <si>
    <t>C0469</t>
  </si>
  <si>
    <t>C0470</t>
  </si>
  <si>
    <t>C0471</t>
  </si>
  <si>
    <t>C0472</t>
  </si>
  <si>
    <t>C0473</t>
  </si>
  <si>
    <t>C0474</t>
  </si>
  <si>
    <t>C0475</t>
  </si>
  <si>
    <t>C0476</t>
  </si>
  <si>
    <t>C0477</t>
  </si>
  <si>
    <t>C0478</t>
  </si>
  <si>
    <t>C0479</t>
  </si>
  <si>
    <t>C0480</t>
  </si>
  <si>
    <t>C0481</t>
  </si>
  <si>
    <t>C0482</t>
  </si>
  <si>
    <t>C0483</t>
  </si>
  <si>
    <t>C0484</t>
  </si>
  <si>
    <t>C0485</t>
  </si>
  <si>
    <t>C0486</t>
  </si>
  <si>
    <t>C0487</t>
  </si>
  <si>
    <t>C0488</t>
  </si>
  <si>
    <t>C0489</t>
  </si>
  <si>
    <t>C0490</t>
  </si>
  <si>
    <t>C0491</t>
  </si>
  <si>
    <t>C0492</t>
  </si>
  <si>
    <t>C0493</t>
  </si>
  <si>
    <t>C0494</t>
  </si>
  <si>
    <t>C0495</t>
  </si>
  <si>
    <t>C0496</t>
  </si>
  <si>
    <t>C0497</t>
  </si>
  <si>
    <t>C0498</t>
  </si>
  <si>
    <t>C0499</t>
  </si>
  <si>
    <t>C0500</t>
  </si>
  <si>
    <t>C0501</t>
  </si>
  <si>
    <t>C0502</t>
  </si>
  <si>
    <t>C0503</t>
  </si>
  <si>
    <t>C0504</t>
  </si>
  <si>
    <t>C0505</t>
  </si>
  <si>
    <t>C0506</t>
  </si>
  <si>
    <t>C0507</t>
  </si>
  <si>
    <t>C0508</t>
  </si>
  <si>
    <t>C0509</t>
  </si>
  <si>
    <t>C0510</t>
  </si>
  <si>
    <t>C0511</t>
  </si>
  <si>
    <t>C0512</t>
  </si>
  <si>
    <t>C0513</t>
  </si>
  <si>
    <t>C0514</t>
  </si>
  <si>
    <t>C0515</t>
  </si>
  <si>
    <t>C0516</t>
  </si>
  <si>
    <t>C0517</t>
  </si>
  <si>
    <t>C0518</t>
  </si>
  <si>
    <t>C0519</t>
  </si>
  <si>
    <t>C0520</t>
  </si>
  <si>
    <t>C0521</t>
  </si>
  <si>
    <t>C0522</t>
  </si>
  <si>
    <t>C0523</t>
  </si>
  <si>
    <t>C0524</t>
  </si>
  <si>
    <t>C0525</t>
  </si>
  <si>
    <t>C0526</t>
  </si>
  <si>
    <t>C0527</t>
  </si>
  <si>
    <t>C0528</t>
  </si>
  <si>
    <t>C0529</t>
  </si>
  <si>
    <t>C0530</t>
  </si>
  <si>
    <t>C0531</t>
  </si>
  <si>
    <t>C0532</t>
  </si>
  <si>
    <t>C0533</t>
  </si>
  <si>
    <t>C0534</t>
  </si>
  <si>
    <t>C0535</t>
  </si>
  <si>
    <t>C0536</t>
  </si>
  <si>
    <t>C0537</t>
  </si>
  <si>
    <t>C0538</t>
  </si>
  <si>
    <t>C0539</t>
  </si>
  <si>
    <t>C0540</t>
  </si>
  <si>
    <t>C0541</t>
  </si>
  <si>
    <t>C0542</t>
  </si>
  <si>
    <t>C0543</t>
  </si>
  <si>
    <t>C0544</t>
  </si>
  <si>
    <t>C0545</t>
  </si>
  <si>
    <t>C0546</t>
  </si>
  <si>
    <t>C0547</t>
  </si>
  <si>
    <t>C0548</t>
  </si>
  <si>
    <t>C0549</t>
  </si>
  <si>
    <t>C0550</t>
  </si>
  <si>
    <t>C0551</t>
  </si>
  <si>
    <t>C0552</t>
  </si>
  <si>
    <t>C0553</t>
  </si>
  <si>
    <t>C0554</t>
  </si>
  <si>
    <t>C0555</t>
  </si>
  <si>
    <t>C0556</t>
  </si>
  <si>
    <t>C0557</t>
  </si>
  <si>
    <t>C0558</t>
  </si>
  <si>
    <t>C0559</t>
  </si>
  <si>
    <t>C0560</t>
  </si>
  <si>
    <t>C0561</t>
  </si>
  <si>
    <t>C0562</t>
  </si>
  <si>
    <t>C0563</t>
  </si>
  <si>
    <t>C0564</t>
  </si>
  <si>
    <t>C0565</t>
  </si>
  <si>
    <t>C0566</t>
  </si>
  <si>
    <t>C0567</t>
  </si>
  <si>
    <t>C0568</t>
  </si>
  <si>
    <t>C0569</t>
  </si>
  <si>
    <t>C0570</t>
  </si>
  <si>
    <t>C0571</t>
  </si>
  <si>
    <t>C0572</t>
  </si>
  <si>
    <t>C0573</t>
  </si>
  <si>
    <t>C0574</t>
  </si>
  <si>
    <t>C0575</t>
  </si>
  <si>
    <t>C0576</t>
  </si>
  <si>
    <t>C0577</t>
  </si>
  <si>
    <t>C0578</t>
  </si>
  <si>
    <t>C0579</t>
  </si>
  <si>
    <t>C0580</t>
  </si>
  <si>
    <t>C0581</t>
  </si>
  <si>
    <t>C0582</t>
  </si>
  <si>
    <t>C0583</t>
  </si>
  <si>
    <t>C0584</t>
  </si>
  <si>
    <t>C0585</t>
  </si>
  <si>
    <t>C0586</t>
  </si>
  <si>
    <t>C0587</t>
  </si>
  <si>
    <t>C0588</t>
  </si>
  <si>
    <t>C0589</t>
  </si>
  <si>
    <t>C0590</t>
  </si>
  <si>
    <t>C0591</t>
  </si>
  <si>
    <t>C0592</t>
  </si>
  <si>
    <t>C0593</t>
  </si>
  <si>
    <t>C0594</t>
  </si>
  <si>
    <t>C0595</t>
  </si>
  <si>
    <t>C0596</t>
  </si>
  <si>
    <t>C0597</t>
  </si>
  <si>
    <t>C0598</t>
  </si>
  <si>
    <t>C0599</t>
  </si>
  <si>
    <t>C0600</t>
  </si>
  <si>
    <t>C0601</t>
  </si>
  <si>
    <t>C0602</t>
  </si>
  <si>
    <t>C0603</t>
  </si>
  <si>
    <t>C0604</t>
  </si>
  <si>
    <t>C0605</t>
  </si>
  <si>
    <t>C0606</t>
  </si>
  <si>
    <t>C0607</t>
  </si>
  <si>
    <t>C0608</t>
  </si>
  <si>
    <t>C0609</t>
  </si>
  <si>
    <t>C0610</t>
  </si>
  <si>
    <t>C0611</t>
  </si>
  <si>
    <t>C0612</t>
  </si>
  <si>
    <t>C0613</t>
  </si>
  <si>
    <t>C0614</t>
  </si>
  <si>
    <t>C0615</t>
  </si>
  <si>
    <t>C0616</t>
  </si>
  <si>
    <t>C0617</t>
  </si>
  <si>
    <t>C0618</t>
  </si>
  <si>
    <t>C0619</t>
  </si>
  <si>
    <t>DFI Lucky</t>
  </si>
  <si>
    <t>069 769 196</t>
  </si>
  <si>
    <t>087 995 051</t>
  </si>
  <si>
    <t>088 565 9030</t>
  </si>
  <si>
    <t>Referral</t>
  </si>
  <si>
    <t>BongThom</t>
  </si>
  <si>
    <t>CamHR</t>
  </si>
  <si>
    <t>Telegram</t>
  </si>
  <si>
    <t>LinkedIn</t>
  </si>
  <si>
    <t>Net</t>
  </si>
  <si>
    <t>Rejected</t>
  </si>
  <si>
    <t>Passed</t>
  </si>
  <si>
    <t>C&amp;B Manager</t>
  </si>
  <si>
    <t>C0001-P0018</t>
  </si>
  <si>
    <t>C0002-P0017</t>
  </si>
  <si>
    <t>C0003-P0019</t>
  </si>
  <si>
    <t>C0004-P0045</t>
  </si>
  <si>
    <t>C0005-P0015</t>
  </si>
  <si>
    <t>C0006-P0014</t>
  </si>
  <si>
    <t>C0007-P0015</t>
  </si>
  <si>
    <t>C0008-P0013</t>
  </si>
  <si>
    <t>C0009-P0044</t>
  </si>
  <si>
    <t>C0010-P0018</t>
  </si>
  <si>
    <t>C0011-P0018</t>
  </si>
  <si>
    <t>C0012-P0044</t>
  </si>
  <si>
    <t>C0013-P0015</t>
  </si>
  <si>
    <t>C0014-</t>
  </si>
  <si>
    <t>C0015-P0045</t>
  </si>
  <si>
    <t>C0016-</t>
  </si>
  <si>
    <t>C0017-P0044</t>
  </si>
  <si>
    <t>C0018-</t>
  </si>
  <si>
    <t>C0019-P0015</t>
  </si>
  <si>
    <t>C0020-P0044</t>
  </si>
  <si>
    <t>C0021-P0012</t>
  </si>
  <si>
    <t>C0022-P0045</t>
  </si>
  <si>
    <t>C0023-P0012</t>
  </si>
  <si>
    <t>C0024-P0012</t>
  </si>
  <si>
    <t>C0025-P0012</t>
  </si>
  <si>
    <t>C0026-P0045</t>
  </si>
  <si>
    <t>C0027-P0012</t>
  </si>
  <si>
    <t>C0028-P0012</t>
  </si>
  <si>
    <t>C0029-P0015</t>
  </si>
  <si>
    <t>C0030-P0045</t>
  </si>
  <si>
    <t>C0031-P0018</t>
  </si>
  <si>
    <t>C0032-P0018</t>
  </si>
  <si>
    <t>C0033-P0045</t>
  </si>
  <si>
    <t>C0034-P0015</t>
  </si>
  <si>
    <t>C0035-P0015</t>
  </si>
  <si>
    <t>C0036-P0045</t>
  </si>
  <si>
    <t>C0037-P0045</t>
  </si>
  <si>
    <t>C0038-P0045</t>
  </si>
  <si>
    <t>C0039-P0015</t>
  </si>
  <si>
    <t>C0040-P0012</t>
  </si>
  <si>
    <t>C0041-P0045</t>
  </si>
  <si>
    <t>C0042-</t>
  </si>
  <si>
    <t>C0043-</t>
  </si>
  <si>
    <t>C0044-P0015</t>
  </si>
  <si>
    <t>C0045-P0015</t>
  </si>
  <si>
    <t>C0046-P0045</t>
  </si>
  <si>
    <t>C0047-P0045</t>
  </si>
  <si>
    <t>C0048-P0015</t>
  </si>
  <si>
    <t>C0049-P0015</t>
  </si>
  <si>
    <t>C0050-</t>
  </si>
  <si>
    <t>C0051-P0018</t>
  </si>
  <si>
    <t>C0052-P0015</t>
  </si>
  <si>
    <t>C0053-P0018</t>
  </si>
  <si>
    <t>C0054-P0018</t>
  </si>
  <si>
    <t>C0055-P0015</t>
  </si>
  <si>
    <t>C0056-P0007</t>
  </si>
  <si>
    <t>C0057-P0019</t>
  </si>
  <si>
    <t>C0058-</t>
  </si>
  <si>
    <t>C0059-P0015</t>
  </si>
  <si>
    <t>C0060-</t>
  </si>
  <si>
    <t>C0061-P0045</t>
  </si>
  <si>
    <t>C0062-</t>
  </si>
  <si>
    <t>C0063-P0012</t>
  </si>
  <si>
    <t>C0064-P0015</t>
  </si>
  <si>
    <t>C0065-P0015</t>
  </si>
  <si>
    <t>C0066-P0015</t>
  </si>
  <si>
    <t>C0067-P0012</t>
  </si>
  <si>
    <t>C0068-P0012</t>
  </si>
  <si>
    <t>C0069-P0012</t>
  </si>
  <si>
    <t>C0070-P0018</t>
  </si>
  <si>
    <t>C0071-P0018</t>
  </si>
  <si>
    <t>C0072-P0018</t>
  </si>
  <si>
    <t>C0073-P0012</t>
  </si>
  <si>
    <t>C0074-P0044</t>
  </si>
  <si>
    <t>C0075-P0038</t>
  </si>
  <si>
    <t>C0076-P0015</t>
  </si>
  <si>
    <t>C0077-P0038</t>
  </si>
  <si>
    <t>C0078-P0015</t>
  </si>
  <si>
    <t>C0079-P0045</t>
  </si>
  <si>
    <t>C0080-P0015</t>
  </si>
  <si>
    <t>C0081-P0045</t>
  </si>
  <si>
    <t>C0082-P0045</t>
  </si>
  <si>
    <t>C0083-P0045</t>
  </si>
  <si>
    <t>C0084-P0015</t>
  </si>
  <si>
    <t>C0085-P0015</t>
  </si>
  <si>
    <t>C0086-P0015</t>
  </si>
  <si>
    <t>C0087-P0015</t>
  </si>
  <si>
    <t>C0088-P0015</t>
  </si>
  <si>
    <t>C0089-P0018</t>
  </si>
  <si>
    <t>C0090-P0044</t>
  </si>
  <si>
    <t>C0091-P0018</t>
  </si>
  <si>
    <t>C0092-P0011</t>
  </si>
  <si>
    <t>C0093-P0015</t>
  </si>
  <si>
    <t>C0094-P0015</t>
  </si>
  <si>
    <t>C0095-</t>
  </si>
  <si>
    <t>C0096-P0015</t>
  </si>
  <si>
    <t>C0097-P0015</t>
  </si>
  <si>
    <t>C0098-</t>
  </si>
  <si>
    <t>C0099-P0015</t>
  </si>
  <si>
    <t>C0100-</t>
  </si>
  <si>
    <t>C0101-P0015</t>
  </si>
  <si>
    <t>C0102-P0012</t>
  </si>
  <si>
    <t>C0103-P0015</t>
  </si>
  <si>
    <t>C0104-P0015</t>
  </si>
  <si>
    <t>C0105-P0015</t>
  </si>
  <si>
    <t>C0106-P0018</t>
  </si>
  <si>
    <t>C0107-</t>
  </si>
  <si>
    <t>C0108-</t>
  </si>
  <si>
    <t>C0109-</t>
  </si>
  <si>
    <t>C0110-</t>
  </si>
  <si>
    <t>C0111-P0018</t>
  </si>
  <si>
    <t>C0112-P0015</t>
  </si>
  <si>
    <t>C0113-P0015</t>
  </si>
  <si>
    <t>C0114-P0015</t>
  </si>
  <si>
    <t>C0115-P0019</t>
  </si>
  <si>
    <t>C0116-P0018</t>
  </si>
  <si>
    <t>C0117-P0018</t>
  </si>
  <si>
    <t>C0118-P0018</t>
  </si>
  <si>
    <t>C0119-P0018</t>
  </si>
  <si>
    <t>C0120-</t>
  </si>
  <si>
    <t>C0121-</t>
  </si>
  <si>
    <t>C0122-P0019</t>
  </si>
  <si>
    <t>C0123-P0011</t>
  </si>
  <si>
    <t>C0124-P0011</t>
  </si>
  <si>
    <t>C0125-P0011</t>
  </si>
  <si>
    <t>C0126-P0015</t>
  </si>
  <si>
    <t>C0127-P0019</t>
  </si>
  <si>
    <t>C0128-</t>
  </si>
  <si>
    <t>C0129-P0019</t>
  </si>
  <si>
    <t>C0130-P0018</t>
  </si>
  <si>
    <t>C0131-P0015</t>
  </si>
  <si>
    <t>C0132-P0015</t>
  </si>
  <si>
    <t>C0133-P0015</t>
  </si>
  <si>
    <t>C0134-P0018</t>
  </si>
  <si>
    <t>C0135-</t>
  </si>
  <si>
    <t>C0136-P0015</t>
  </si>
  <si>
    <t>C0137-P0045</t>
  </si>
  <si>
    <t>C0138-P0015</t>
  </si>
  <si>
    <t>C0139-P0012</t>
  </si>
  <si>
    <t>C0140-P0015</t>
  </si>
  <si>
    <t>C0141-P0013</t>
  </si>
  <si>
    <t>C0142-P0015</t>
  </si>
  <si>
    <t>C0143-P0024</t>
  </si>
  <si>
    <t>C0144-P0015</t>
  </si>
  <si>
    <t>C0145-P0024</t>
  </si>
  <si>
    <t>C0146-P0019</t>
  </si>
  <si>
    <t>C0147-P0011</t>
  </si>
  <si>
    <t>C0148-</t>
  </si>
  <si>
    <t>C0149-</t>
  </si>
  <si>
    <t>C0150-P0024</t>
  </si>
  <si>
    <t>C0151-P0019</t>
  </si>
  <si>
    <t>C0152-</t>
  </si>
  <si>
    <t>C0153-P0012</t>
  </si>
  <si>
    <t>C0154-</t>
  </si>
  <si>
    <t>C0155-P0038</t>
  </si>
  <si>
    <t>C0156-P0045</t>
  </si>
  <si>
    <t>C0157-</t>
  </si>
  <si>
    <t>C0158-P0018</t>
  </si>
  <si>
    <t>C0159-</t>
  </si>
  <si>
    <t>C0160-</t>
  </si>
  <si>
    <t>C0161-</t>
  </si>
  <si>
    <t>C0162-P0012</t>
  </si>
  <si>
    <t>C0163-P0019</t>
  </si>
  <si>
    <t>C0164-P0015</t>
  </si>
  <si>
    <t>C0165-</t>
  </si>
  <si>
    <t>C0166-P0012</t>
  </si>
  <si>
    <t>C0167-</t>
  </si>
  <si>
    <t>C0168-P0015</t>
  </si>
  <si>
    <t>C0169-P0012</t>
  </si>
  <si>
    <t>C0170-P0015</t>
  </si>
  <si>
    <t>C0171-P0015</t>
  </si>
  <si>
    <t>C0172-P0015</t>
  </si>
  <si>
    <t>C0173-P0045</t>
  </si>
  <si>
    <t>C0174-P0038</t>
  </si>
  <si>
    <t>C0175-P0015</t>
  </si>
  <si>
    <t>C0176-P0015</t>
  </si>
  <si>
    <t>C0177-P0015</t>
  </si>
  <si>
    <t>C0178-P0015</t>
  </si>
  <si>
    <t>C0179-P0011</t>
  </si>
  <si>
    <t>C0180-</t>
  </si>
  <si>
    <t>C0181-P0012</t>
  </si>
  <si>
    <t>C0182-</t>
  </si>
  <si>
    <t>C0183-P0015</t>
  </si>
  <si>
    <t>C0184-P0011</t>
  </si>
  <si>
    <t>C0185-P0007</t>
  </si>
  <si>
    <t>C0186-P0011</t>
  </si>
  <si>
    <t>C0187-P0015</t>
  </si>
  <si>
    <t>C0188-P0015</t>
  </si>
  <si>
    <t>C0189-P0019</t>
  </si>
  <si>
    <t>C0190-P0015</t>
  </si>
  <si>
    <t>C0191-P0011</t>
  </si>
  <si>
    <t>C0192-P0015</t>
  </si>
  <si>
    <t>C0193-P0015</t>
  </si>
  <si>
    <t>C0194-P0017</t>
  </si>
  <si>
    <t>C0195-</t>
  </si>
  <si>
    <t>C0196-P0012</t>
  </si>
  <si>
    <t>C0197-P0015</t>
  </si>
  <si>
    <t>C0198-P0015</t>
  </si>
  <si>
    <t>C0199-P0015</t>
  </si>
  <si>
    <t>C0200-P0015</t>
  </si>
  <si>
    <t>C0201-P0017</t>
  </si>
  <si>
    <t>C0202-P0045</t>
  </si>
  <si>
    <t>C0203-P0045</t>
  </si>
  <si>
    <t>C0204-</t>
  </si>
  <si>
    <t>C0205-P0013</t>
  </si>
  <si>
    <t>C0206-P0018</t>
  </si>
  <si>
    <t>C0207-P0015</t>
  </si>
  <si>
    <t>C0208-P0018</t>
  </si>
  <si>
    <t>C0209-</t>
  </si>
  <si>
    <t>C0210-P0007</t>
  </si>
  <si>
    <t>C0211-P0019</t>
  </si>
  <si>
    <t>C0212-P0018</t>
  </si>
  <si>
    <t>C0213-</t>
  </si>
  <si>
    <t>C0214-P0018</t>
  </si>
  <si>
    <t>C0215-P0019</t>
  </si>
  <si>
    <t>C0216-</t>
  </si>
  <si>
    <t>C0217-P0007</t>
  </si>
  <si>
    <t>C0218-P0019</t>
  </si>
  <si>
    <t>C0219-P0011</t>
  </si>
  <si>
    <t>C0220-P0007</t>
  </si>
  <si>
    <t>C0221-P0025</t>
  </si>
  <si>
    <t>C0222-P0025</t>
  </si>
  <si>
    <t>C0223-P0019</t>
  </si>
  <si>
    <t>C0224-P0012</t>
  </si>
  <si>
    <t>C0225-P0013</t>
  </si>
  <si>
    <t>C0226-P0007</t>
  </si>
  <si>
    <t>C0227-P0019</t>
  </si>
  <si>
    <t>C0228-NA</t>
  </si>
  <si>
    <t>C0229-NA</t>
  </si>
  <si>
    <t>C0230-P0019</t>
  </si>
  <si>
    <t>C0231-P0045</t>
  </si>
  <si>
    <t>C0232-P0015</t>
  </si>
  <si>
    <t>C0233-NA</t>
  </si>
  <si>
    <t>C0234-P0013</t>
  </si>
  <si>
    <t>C0235-P0019</t>
  </si>
  <si>
    <t>C0236-</t>
  </si>
  <si>
    <t>C0237-</t>
  </si>
  <si>
    <t>C0238-</t>
  </si>
  <si>
    <t>C0239-</t>
  </si>
  <si>
    <t>C0240-P0018</t>
  </si>
  <si>
    <t>C0241-P0018</t>
  </si>
  <si>
    <t>C0242-</t>
  </si>
  <si>
    <t>C0243-</t>
  </si>
  <si>
    <t>C0244-</t>
  </si>
  <si>
    <t>C0245-P0018</t>
  </si>
  <si>
    <t>C0246-P0018</t>
  </si>
  <si>
    <t>C0247-</t>
  </si>
  <si>
    <t>C0248-P0029</t>
  </si>
  <si>
    <t>C0249-P0019</t>
  </si>
  <si>
    <t>C0250-P0019</t>
  </si>
  <si>
    <t>C0251-</t>
  </si>
  <si>
    <t>C0252-P0018</t>
  </si>
  <si>
    <t>C0253-P0015</t>
  </si>
  <si>
    <t>C0254-P0031</t>
  </si>
  <si>
    <t>C0255-P0018</t>
  </si>
  <si>
    <t>C0256-P0018</t>
  </si>
  <si>
    <t>C0257-</t>
  </si>
  <si>
    <t>C0258-</t>
  </si>
  <si>
    <t>C0259-P0019</t>
  </si>
  <si>
    <t>C0260-P0014</t>
  </si>
  <si>
    <t>C0261-P0019</t>
  </si>
  <si>
    <t>C0262-P0025</t>
  </si>
  <si>
    <t>C0263-P0025</t>
  </si>
  <si>
    <t>C0264-P0025</t>
  </si>
  <si>
    <t>C0265-P0018</t>
  </si>
  <si>
    <t>C0266-</t>
  </si>
  <si>
    <t>C0267-P0034</t>
  </si>
  <si>
    <t>C0268-</t>
  </si>
  <si>
    <t>C0269-P0014</t>
  </si>
  <si>
    <t>C0270-P0019</t>
  </si>
  <si>
    <t>C0271-P0018</t>
  </si>
  <si>
    <t>C0272-P0045</t>
  </si>
  <si>
    <t>C0273-P0025</t>
  </si>
  <si>
    <t>C0274-P0034</t>
  </si>
  <si>
    <t>C0275-P0045</t>
  </si>
  <si>
    <t>C0276-P0025</t>
  </si>
  <si>
    <t>C0277-P0014</t>
  </si>
  <si>
    <t>C0278-P0007</t>
  </si>
  <si>
    <t>C0279-P0015</t>
  </si>
  <si>
    <t>C0280-P0011</t>
  </si>
  <si>
    <t>C0281-P0025</t>
  </si>
  <si>
    <t>C0282-P0015</t>
  </si>
  <si>
    <t>C0283-P0015</t>
  </si>
  <si>
    <t>C0284-P0018</t>
  </si>
  <si>
    <t>C0285-P0007</t>
  </si>
  <si>
    <t>C0286-P0019</t>
  </si>
  <si>
    <t>C0287-P0033</t>
  </si>
  <si>
    <t>C0288-P0015</t>
  </si>
  <si>
    <t>C0289-P0033</t>
  </si>
  <si>
    <t>C0290-P0015</t>
  </si>
  <si>
    <t>C0291-P0015</t>
  </si>
  <si>
    <t>C0292-P0015</t>
  </si>
  <si>
    <t>C0293-P0015</t>
  </si>
  <si>
    <t>C0294-P0015</t>
  </si>
  <si>
    <t>C0295-P0015</t>
  </si>
  <si>
    <t>C0296-P0045</t>
  </si>
  <si>
    <t>C0297-P0019</t>
  </si>
  <si>
    <t>C0298-P0019</t>
  </si>
  <si>
    <t>C0299-P0015</t>
  </si>
  <si>
    <t>C0300-P0015</t>
  </si>
  <si>
    <t>C0301-P0015</t>
  </si>
  <si>
    <t>C0302-P0025</t>
  </si>
  <si>
    <t>C0303-P0015</t>
  </si>
  <si>
    <t>C0304-P0007</t>
  </si>
  <si>
    <t>C0305-P0015</t>
  </si>
  <si>
    <t>C0306-P0015</t>
  </si>
  <si>
    <t>C0307-P0019</t>
  </si>
  <si>
    <t>C0308-P0025</t>
  </si>
  <si>
    <t>C0309-P0014</t>
  </si>
  <si>
    <t>C0310-</t>
  </si>
  <si>
    <t>C0311-P0044</t>
  </si>
  <si>
    <t>C0312-P0025</t>
  </si>
  <si>
    <t>C0313-</t>
  </si>
  <si>
    <t>C0314-P0018</t>
  </si>
  <si>
    <t>C0315-P0018</t>
  </si>
  <si>
    <t>C0316-P0018</t>
  </si>
  <si>
    <t>C0317-P0034</t>
  </si>
  <si>
    <t>C0318-P0018</t>
  </si>
  <si>
    <t>C0319-P0018</t>
  </si>
  <si>
    <t>C0320-P0034</t>
  </si>
  <si>
    <t>C0321-P0024</t>
  </si>
  <si>
    <t>C0322-P0018</t>
  </si>
  <si>
    <t>C0323-P0015</t>
  </si>
  <si>
    <t>C0324-P0025</t>
  </si>
  <si>
    <t>C0325-P0024</t>
  </si>
  <si>
    <t>C0326-P0024</t>
  </si>
  <si>
    <t>C0327-P0024</t>
  </si>
  <si>
    <t>C0328-P0025</t>
  </si>
  <si>
    <t>C0329-P0033</t>
  </si>
  <si>
    <t>C0330-P0024</t>
  </si>
  <si>
    <t>C0331-P0018</t>
  </si>
  <si>
    <t>C0332-P0033</t>
  </si>
  <si>
    <t>C0333-P0034</t>
  </si>
  <si>
    <t>C0334-P0018</t>
  </si>
  <si>
    <t>C0335-P0018</t>
  </si>
  <si>
    <t>C0336-P0024</t>
  </si>
  <si>
    <t>C0337-P0015</t>
  </si>
  <si>
    <t>C0338-P0024</t>
  </si>
  <si>
    <t>C0339-P0025</t>
  </si>
  <si>
    <t>C0340-P0024</t>
  </si>
  <si>
    <t>C0341-NA</t>
  </si>
  <si>
    <t>C0342-P0025</t>
  </si>
  <si>
    <t>C0343-P0025</t>
  </si>
  <si>
    <t>C0344-P0025</t>
  </si>
  <si>
    <t>C0345-P0018</t>
  </si>
  <si>
    <t>C0346-P0018</t>
  </si>
  <si>
    <t>C0347-P0024</t>
  </si>
  <si>
    <t>C0348-P0025</t>
  </si>
  <si>
    <t>C0349-P0024</t>
  </si>
  <si>
    <t>C0350-P0024</t>
  </si>
  <si>
    <t>C0351-P0015</t>
  </si>
  <si>
    <t>C0352-P0019</t>
  </si>
  <si>
    <t>C0353-P0018</t>
  </si>
  <si>
    <t>C0354-P0018</t>
  </si>
  <si>
    <t>C0355-P0024</t>
  </si>
  <si>
    <t>C0356-P0018</t>
  </si>
  <si>
    <t>C0357-P0018</t>
  </si>
  <si>
    <t>C0358-P0033</t>
  </si>
  <si>
    <t>C0359-P0033</t>
  </si>
  <si>
    <t>C0360-P0033</t>
  </si>
  <si>
    <t>C0361-P0033</t>
  </si>
  <si>
    <t>C0362-P0024</t>
  </si>
  <si>
    <t>C0363-P0024</t>
  </si>
  <si>
    <t>C0364-P0033</t>
  </si>
  <si>
    <t>C0365-P0025</t>
  </si>
  <si>
    <t>C0366-P0024</t>
  </si>
  <si>
    <t>C0367-P0015</t>
  </si>
  <si>
    <t>C0368-P0018</t>
  </si>
  <si>
    <t>C0369-P0015</t>
  </si>
  <si>
    <t>C0370-P0019</t>
  </si>
  <si>
    <t>C0371-P0025</t>
  </si>
  <si>
    <t>C0372-P0044</t>
  </si>
  <si>
    <t>C0373-P0024</t>
  </si>
  <si>
    <t>C0374-P0019</t>
  </si>
  <si>
    <t>C0375-P0024</t>
  </si>
  <si>
    <t>C0376-P0033</t>
  </si>
  <si>
    <t>C0377-P0033</t>
  </si>
  <si>
    <t>C0378-P0033</t>
  </si>
  <si>
    <t>C0379-P0033</t>
  </si>
  <si>
    <t>C0380-P0033</t>
  </si>
  <si>
    <t>C0381-</t>
  </si>
  <si>
    <t>C0382-P0033</t>
  </si>
  <si>
    <t>C0383-P0034</t>
  </si>
  <si>
    <t>C0384-P0033</t>
  </si>
  <si>
    <t>C0385-P0036</t>
  </si>
  <si>
    <t>C0386-P0036</t>
  </si>
  <si>
    <t>C0387-P0019</t>
  </si>
  <si>
    <t>C0388-P0024</t>
  </si>
  <si>
    <t>C0389-P0045</t>
  </si>
  <si>
    <t>C0390-P0036</t>
  </si>
  <si>
    <t>C0391-P0036</t>
  </si>
  <si>
    <t>C0392-P0045</t>
  </si>
  <si>
    <t>C0393-P0036</t>
  </si>
  <si>
    <t>C0394-P0033</t>
  </si>
  <si>
    <t>C0395-P0045</t>
  </si>
  <si>
    <t>C0396-P0019</t>
  </si>
  <si>
    <t>C0397-P0045</t>
  </si>
  <si>
    <t>C0398-P0024</t>
  </si>
  <si>
    <t>C0399-P0033</t>
  </si>
  <si>
    <t>C0400-P0019</t>
  </si>
  <si>
    <t>C0401-P0019</t>
  </si>
  <si>
    <t>C0402-P0007</t>
  </si>
  <si>
    <t>C0403-P0019</t>
  </si>
  <si>
    <t>C0404-P0018</t>
  </si>
  <si>
    <t>C0405-P0033</t>
  </si>
  <si>
    <t>C0406-P0034</t>
  </si>
  <si>
    <t>C0407-P0033</t>
  </si>
  <si>
    <t>C0408-P0033</t>
  </si>
  <si>
    <t>C0409-P0019</t>
  </si>
  <si>
    <t>C0410-P0024</t>
  </si>
  <si>
    <t>C0411-P0007</t>
  </si>
  <si>
    <t>C0412-P0024</t>
  </si>
  <si>
    <t>C0413-P0018</t>
  </si>
  <si>
    <t>C0414-P0034</t>
  </si>
  <si>
    <t>C0415-P0019</t>
  </si>
  <si>
    <t>C0416-P0019</t>
  </si>
  <si>
    <t>C0417-P0018</t>
  </si>
  <si>
    <t>C0418-P0024</t>
  </si>
  <si>
    <t>C0419-P0017</t>
  </si>
  <si>
    <t>C0420-P0019</t>
  </si>
  <si>
    <t>C0421-P0019</t>
  </si>
  <si>
    <t>C0422-P0019</t>
  </si>
  <si>
    <t>C0423-P0019</t>
  </si>
  <si>
    <t>C0424-P0045</t>
  </si>
  <si>
    <t>C0425-P0018</t>
  </si>
  <si>
    <t>C0426-P0019</t>
  </si>
  <si>
    <t>C0427-P0024</t>
  </si>
  <si>
    <t>C0428-P0024</t>
  </si>
  <si>
    <t>C0429-P0019</t>
  </si>
  <si>
    <t>C0430-P0018</t>
  </si>
  <si>
    <t>C0431-P0017</t>
  </si>
  <si>
    <t>C0432-P0017</t>
  </si>
  <si>
    <t>C0433-P0019</t>
  </si>
  <si>
    <t>C0434-P0019</t>
  </si>
  <si>
    <t>C0435-P0019</t>
  </si>
  <si>
    <t>C0436-P0019</t>
  </si>
  <si>
    <t>C0437-P0018</t>
  </si>
  <si>
    <t>C0438-P0018</t>
  </si>
  <si>
    <t>C0439-P0024</t>
  </si>
  <si>
    <t>C0440-P0017</t>
  </si>
  <si>
    <t>C0441-P0018</t>
  </si>
  <si>
    <t>C0442-P0019</t>
  </si>
  <si>
    <t>C0443-P0045</t>
  </si>
  <si>
    <t>C0444-P0019</t>
  </si>
  <si>
    <t>C0445-P0019</t>
  </si>
  <si>
    <t>C0446-P0033</t>
  </si>
  <si>
    <t>C0447-P0033</t>
  </si>
  <si>
    <t>C0448-P0018</t>
  </si>
  <si>
    <t>C0449-P0019</t>
  </si>
  <si>
    <t>C0450-P0019</t>
  </si>
  <si>
    <t>C0451-NA</t>
  </si>
  <si>
    <t>C0452-P0034</t>
  </si>
  <si>
    <t>C0453-P0019</t>
  </si>
  <si>
    <t>C0454-P0024</t>
  </si>
  <si>
    <t>C0455-P0019</t>
  </si>
  <si>
    <t>C0456-P0017</t>
  </si>
  <si>
    <t>C0457-P0019</t>
  </si>
  <si>
    <t>C0458-P0017</t>
  </si>
  <si>
    <t>C0459-P0019</t>
  </si>
  <si>
    <t>C0460-NA</t>
  </si>
  <si>
    <t>C0461-P0019</t>
  </si>
  <si>
    <t>C0462-P0018</t>
  </si>
  <si>
    <t>C0463-P0019</t>
  </si>
  <si>
    <t>C0464-P0018</t>
  </si>
  <si>
    <t>C0465-P0018</t>
  </si>
  <si>
    <t>C0466-P0024</t>
  </si>
  <si>
    <t>C0467-P0015</t>
  </si>
  <si>
    <t>C0468-P0019</t>
  </si>
  <si>
    <t>C0469-P0018</t>
  </si>
  <si>
    <t>C0470-NA</t>
  </si>
  <si>
    <t>C0471-P0018</t>
  </si>
  <si>
    <t>C0472-P0018</t>
  </si>
  <si>
    <t>C0473-P0019</t>
  </si>
  <si>
    <t>C0474-P0017</t>
  </si>
  <si>
    <t>C0475-P0015</t>
  </si>
  <si>
    <t>C0476-P0017</t>
  </si>
  <si>
    <t>C0477-P0015</t>
  </si>
  <si>
    <t>C0478-P0018</t>
  </si>
  <si>
    <t>C0479-P0017</t>
  </si>
  <si>
    <t>C0480-P0024</t>
  </si>
  <si>
    <t>C0481-P0015</t>
  </si>
  <si>
    <t>C0482-P0018</t>
  </si>
  <si>
    <t>C0483-P0015</t>
  </si>
  <si>
    <t>C0484-P0018</t>
  </si>
  <si>
    <t>C0485-P0017</t>
  </si>
  <si>
    <t>C0486-P0015</t>
  </si>
  <si>
    <t>C0487-P0015</t>
  </si>
  <si>
    <t>C0488-P0015</t>
  </si>
  <si>
    <t>C0489-P0019</t>
  </si>
  <si>
    <t>C0490-P0015</t>
  </si>
  <si>
    <t>C0491-P0015</t>
  </si>
  <si>
    <t>C0492-P0019</t>
  </si>
  <si>
    <t>C0493-P0019</t>
  </si>
  <si>
    <t>C0494-P0045</t>
  </si>
  <si>
    <t>C0495-P0019</t>
  </si>
  <si>
    <t>C0496-P0045</t>
  </si>
  <si>
    <t>C0497-P0033</t>
  </si>
  <si>
    <t>C0498-P0015</t>
  </si>
  <si>
    <t>C0499-P0033</t>
  </si>
  <si>
    <t>C0500-P0018</t>
  </si>
  <si>
    <t>C0501-P0045</t>
  </si>
  <si>
    <t>C0502-P0017</t>
  </si>
  <si>
    <t>C0503-P0018</t>
  </si>
  <si>
    <t>C0504-P0015</t>
  </si>
  <si>
    <t>C0505-P0045</t>
  </si>
  <si>
    <t>C0506-P0017</t>
  </si>
  <si>
    <t>C0507-</t>
  </si>
  <si>
    <t>C0508-P0015</t>
  </si>
  <si>
    <t>C0509-P0015</t>
  </si>
  <si>
    <t>C0510-P0015</t>
  </si>
  <si>
    <t>C0511-P0015</t>
  </si>
  <si>
    <t>C0512-P0015</t>
  </si>
  <si>
    <t>C0513-P0015</t>
  </si>
  <si>
    <t>C0514-P0018</t>
  </si>
  <si>
    <t>C0515-P0015</t>
  </si>
  <si>
    <t>C0516-P0017</t>
  </si>
  <si>
    <t>C0517-P0018</t>
  </si>
  <si>
    <t>C0518-P0015</t>
  </si>
  <si>
    <t>C0519-P0015</t>
  </si>
  <si>
    <t>C0520-P0015</t>
  </si>
  <si>
    <t>C0521-P0015</t>
  </si>
  <si>
    <t>C0522-P0015</t>
  </si>
  <si>
    <t>C0523-P0015</t>
  </si>
  <si>
    <t>C0524-P0019</t>
  </si>
  <si>
    <t>C0525-P0015</t>
  </si>
  <si>
    <t>C0526-P0015</t>
  </si>
  <si>
    <t>C0527-P0015</t>
  </si>
  <si>
    <t>C0528-P0015</t>
  </si>
  <si>
    <t>C0529-P0015</t>
  </si>
  <si>
    <t>C0530-P0015</t>
  </si>
  <si>
    <t>C0531-P0045</t>
  </si>
  <si>
    <t>C0532-P0019</t>
  </si>
  <si>
    <t>C0533-P0015</t>
  </si>
  <si>
    <t>C0534-P0015</t>
  </si>
  <si>
    <t>C0535-P0015</t>
  </si>
  <si>
    <t>C0536-P0018</t>
  </si>
  <si>
    <t>C0537-P0015</t>
  </si>
  <si>
    <t>C0538-P0019</t>
  </si>
  <si>
    <t>C0539-P0018</t>
  </si>
  <si>
    <t>C0540-P0015</t>
  </si>
  <si>
    <t>C0541-P0015</t>
  </si>
  <si>
    <t>C0542-P0018</t>
  </si>
  <si>
    <t>C0543-P0015</t>
  </si>
  <si>
    <t>C0544-P0019</t>
  </si>
  <si>
    <t>C0545-P0015</t>
  </si>
  <si>
    <t>C0546-P0018</t>
  </si>
  <si>
    <t>C0547-P0017</t>
  </si>
  <si>
    <t>C0548-P0038</t>
  </si>
  <si>
    <t>C0549-P0015</t>
  </si>
  <si>
    <t>C0550-P0015</t>
  </si>
  <si>
    <t>C0551-P0018</t>
  </si>
  <si>
    <t>C0552-P0019</t>
  </si>
  <si>
    <t>C0553-P0019</t>
  </si>
  <si>
    <t>C0554-P0038</t>
  </si>
  <si>
    <t>C0555-P0038</t>
  </si>
  <si>
    <t>C0556-P0015</t>
  </si>
  <si>
    <t>C0557-P0011</t>
  </si>
  <si>
    <t>C0558-P0019</t>
  </si>
  <si>
    <t>C0559-P0019</t>
  </si>
  <si>
    <t>C0560-P0038</t>
  </si>
  <si>
    <t>C0561-P0019</t>
  </si>
  <si>
    <t>C0562-P0017</t>
  </si>
  <si>
    <t>C0563-P0018</t>
  </si>
  <si>
    <t>C0564-P0018</t>
  </si>
  <si>
    <t>C0565-P0018</t>
  </si>
  <si>
    <t>C0566-P0024</t>
  </si>
  <si>
    <t>C0567-P0017</t>
  </si>
  <si>
    <t>C0568-P0011</t>
  </si>
  <si>
    <t>C0569-P0038</t>
  </si>
  <si>
    <t>C0570-P0038</t>
  </si>
  <si>
    <t>C0571-P0015</t>
  </si>
  <si>
    <t>C0572-P0018</t>
  </si>
  <si>
    <t>C0573-P0038</t>
  </si>
  <si>
    <t>C0574-P0045</t>
  </si>
  <si>
    <t>C0575-P0019</t>
  </si>
  <si>
    <t>C0576-P0015</t>
  </si>
  <si>
    <t>C0577-P0019</t>
  </si>
  <si>
    <t>C0578-P0019</t>
  </si>
  <si>
    <t>C0579-P0038</t>
  </si>
  <si>
    <t>C0580-P0038</t>
  </si>
  <si>
    <t>C0581-P0024</t>
  </si>
  <si>
    <t>C0582-P0018</t>
  </si>
  <si>
    <t>C0583-P0018</t>
  </si>
  <si>
    <t>C0584-P0038</t>
  </si>
  <si>
    <t>C0585-P0018</t>
  </si>
  <si>
    <t>C0586-P0024</t>
  </si>
  <si>
    <t>C0587-P0024</t>
  </si>
  <si>
    <t>C0588-P0018</t>
  </si>
  <si>
    <t>C0589-P0038</t>
  </si>
  <si>
    <t>C0590-P0018</t>
  </si>
  <si>
    <t>C0591-P0038</t>
  </si>
  <si>
    <t>C0592-P0038</t>
  </si>
  <si>
    <t>C0593-P0038</t>
  </si>
  <si>
    <t>C0594-P0038</t>
  </si>
  <si>
    <t>C0595-P0018</t>
  </si>
  <si>
    <t>C0596-P0018</t>
  </si>
  <si>
    <t>C0597-P0038</t>
  </si>
  <si>
    <t>C0598-P0018</t>
  </si>
  <si>
    <t>C0599-P0045</t>
  </si>
  <si>
    <t>C0600-P0019</t>
  </si>
  <si>
    <t>C0601-P0045</t>
  </si>
  <si>
    <t>C0602-P0045</t>
  </si>
  <si>
    <t>C0603-P0015</t>
  </si>
  <si>
    <t>C0604-P0038</t>
  </si>
  <si>
    <t>C0605-P0015</t>
  </si>
  <si>
    <t>C0606-P0045</t>
  </si>
  <si>
    <t>C0607-P0018</t>
  </si>
  <si>
    <t>C0608-P0045</t>
  </si>
  <si>
    <t>C0609-P0045</t>
  </si>
  <si>
    <t>C0610-P0018</t>
  </si>
  <si>
    <t>C0611-P0018</t>
  </si>
  <si>
    <t>C0612-P0045</t>
  </si>
  <si>
    <t>C0613-P0018</t>
  </si>
  <si>
    <t>C0614-P0045</t>
  </si>
  <si>
    <t>C0615-P0045</t>
  </si>
  <si>
    <t>C0616-P0018</t>
  </si>
  <si>
    <t>C0617-P0015</t>
  </si>
  <si>
    <t>C0618-P0015</t>
  </si>
  <si>
    <t>C0619-P0038</t>
  </si>
  <si>
    <t>Urgent</t>
  </si>
  <si>
    <t>Hold</t>
  </si>
  <si>
    <t>No</t>
  </si>
  <si>
    <t>Priority</t>
  </si>
  <si>
    <t>Yes</t>
  </si>
  <si>
    <t>PostID</t>
  </si>
  <si>
    <t>Position</t>
  </si>
  <si>
    <t>Section</t>
  </si>
  <si>
    <t>Department</t>
  </si>
  <si>
    <t>Location</t>
  </si>
  <si>
    <t>BU</t>
  </si>
  <si>
    <t>Appr_Date</t>
  </si>
  <si>
    <t>Post_Status</t>
  </si>
  <si>
    <t>Stat_Date</t>
  </si>
  <si>
    <t>CandID</t>
  </si>
  <si>
    <t>Sex</t>
  </si>
  <si>
    <t>F</t>
  </si>
  <si>
    <t>M</t>
  </si>
  <si>
    <t>Edu</t>
  </si>
  <si>
    <t>Cand_Post</t>
  </si>
  <si>
    <t>Cand_Com</t>
  </si>
  <si>
    <t>Industry</t>
  </si>
  <si>
    <t>Contact</t>
  </si>
  <si>
    <t>AppID</t>
  </si>
  <si>
    <t>Cand_Name</t>
  </si>
  <si>
    <t>Source</t>
  </si>
  <si>
    <t>ShortListed</t>
  </si>
  <si>
    <t>1_Interv</t>
  </si>
  <si>
    <t>2_Interv</t>
  </si>
  <si>
    <t>Offer_Date</t>
  </si>
  <si>
    <t>Offer_Stat</t>
  </si>
  <si>
    <t>KIV</t>
  </si>
  <si>
    <t>Exp_Salary</t>
  </si>
  <si>
    <t>Remark</t>
  </si>
  <si>
    <t>Curr_Salary</t>
  </si>
  <si>
    <t>Aging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</si>
  <si>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</si>
  <si>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</si>
  <si>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</si>
  <si>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</si>
  <si>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</si>
  <si>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</si>
  <si>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</si>
  <si>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</si>
  <si>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</si>
  <si>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</si>
  <si>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</si>
  <si>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</si>
  <si>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Failed</t>
  </si>
  <si>
    <t>Num_App</t>
  </si>
  <si>
    <t>Pending</t>
  </si>
  <si>
    <t>Shortlisted</t>
  </si>
  <si>
    <t/>
  </si>
  <si>
    <t>Appl_Date</t>
  </si>
  <si>
    <t>Result</t>
  </si>
  <si>
    <t>Status</t>
  </si>
  <si>
    <t>Status_Date</t>
  </si>
  <si>
    <t>Monthly</t>
  </si>
  <si>
    <t>Open</t>
  </si>
  <si>
    <t>New</t>
  </si>
  <si>
    <t>End Bal.</t>
  </si>
  <si>
    <t>Closed rate</t>
  </si>
  <si>
    <t>Applicant</t>
  </si>
  <si>
    <t>1_interv</t>
  </si>
  <si>
    <t>2_interv</t>
  </si>
  <si>
    <t>Total</t>
  </si>
  <si>
    <t>Khmer24</t>
  </si>
  <si>
    <t>TA Work:</t>
  </si>
  <si>
    <t>Sources:</t>
  </si>
  <si>
    <t>Funel:</t>
  </si>
  <si>
    <t>Others</t>
  </si>
  <si>
    <t>Waiting List:</t>
  </si>
  <si>
    <t>Shortlist</t>
  </si>
  <si>
    <t>HC</t>
  </si>
  <si>
    <t>Acceptance</t>
  </si>
  <si>
    <t>No","CandID","Cand_Name","PostID","Position","Appl_Date","Source","Status","Status_Date","Result","Offer_Date","Offer_Stat","KIV","Aging","Remark</t>
  </si>
  <si>
    <t>60;60;60;60;60;60;60;60;60;60;60;60;60;60</t>
  </si>
  <si>
    <t>Remarks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</si>
</sst>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(&quot;$&quot;* #,##0.00_);_(&quot;$&quot;* \(#,##0.00\);_(&quot;$&quot;* &quot;-&quot;??_);_(@_)"/>
    <numFmt numFmtId="164" formatCode="dd/mm/yy;@"/>
    <numFmt numFmtId="165" formatCode="_(&quot;$&quot;* #,##0_);_(&quot;$&quot;* \(#,##0\);_(&quot;$&quot;* &quot;-&quot;??_);_(@_)"/>
    <numFmt numFmtId="166" formatCode="mm"/>
    <numFmt numFmtId="167" formatCode="General;;\-"/>
    <numFmt numFmtId="168" formatCode="General;;;@&quot;:&quot;"/>
    <numFmt numFmtId="169" formatCode="0%;;\-"/>
    <numFmt numFmtId="170" formatCode=";;;"/>
  </numFmts>
  <fonts count="8" x14ac:knownFonts="1">
    <font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8"/>
      <name val="Arial Narrow"/>
      <family val="2"/>
    </font>
    <font>
      <sz val="11"/>
      <color rgb="FFFF0000"/>
      <name val="Arial Narrow"/>
      <family val="2"/>
    </font>
    <font>
      <sz val="11"/>
      <color rgb="FF0070C0"/>
      <name val="Arial Narrow"/>
      <family val="2"/>
    </font>
    <font>
      <sz val="9"/>
      <name val="Calibri"/>
      <family val="2"/>
      <scheme val="minor"/>
    </font>
    <font>
      <sz val="7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horizontal="left" vertical="center"/>
    </xf>
    <xf numFmtId="164" fontId="2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2" fontId="2" fillId="0" borderId="0" xfId="0" applyNumberFormat="1" applyFont="1" applyAlignment="1">
      <alignment horizontal="left" vertical="center"/>
    </xf>
    <xf numFmtId="0" fontId="0" fillId="0" borderId="0" xfId="0" applyNumberFormat="1"/>
    <xf numFmtId="14" fontId="0" fillId="0" borderId="0" xfId="0" applyNumberFormat="1"/>
    <xf numFmtId="166" fontId="2" fillId="3" borderId="2" xfId="0" applyNumberFormat="1" applyFont="1" applyFill="1" applyBorder="1" applyAlignment="1">
      <alignment horizontal="center" vertical="center"/>
    </xf>
    <xf numFmtId="167" fontId="0" fillId="0" borderId="3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7" fontId="4" fillId="0" borderId="3" xfId="0" applyNumberFormat="1" applyFont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5" fillId="0" borderId="3" xfId="0" applyNumberFormat="1" applyFont="1" applyBorder="1" applyAlignment="1">
      <alignment horizontal="center" vertical="center"/>
    </xf>
    <xf numFmtId="167" fontId="5" fillId="0" borderId="1" xfId="0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168" fontId="0" fillId="0" borderId="0" xfId="0" applyNumberFormat="1" applyAlignment="1">
      <alignment horizontal="right" vertical="center"/>
    </xf>
    <xf numFmtId="168" fontId="0" fillId="0" borderId="0" xfId="0" applyNumberFormat="1" applyFill="1" applyBorder="1" applyAlignment="1">
      <alignment horizontal="right" vertical="center"/>
    </xf>
    <xf numFmtId="0" fontId="0" fillId="2" borderId="0" xfId="0" applyFill="1" applyAlignment="1">
      <alignment horizontal="center" vertical="center"/>
    </xf>
    <xf numFmtId="169" fontId="0" fillId="0" borderId="1" xfId="2" applyNumberFormat="1" applyFont="1" applyBorder="1" applyAlignment="1">
      <alignment horizontal="center" vertical="center"/>
    </xf>
    <xf numFmtId="169" fontId="2" fillId="0" borderId="1" xfId="2" applyNumberFormat="1" applyFont="1" applyBorder="1" applyAlignment="1">
      <alignment horizontal="center" vertical="center"/>
    </xf>
    <xf numFmtId="167" fontId="2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right" vertical="center"/>
    </xf>
    <xf numFmtId="170" fontId="0" fillId="0" borderId="0" xfId="0" applyNumberForma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67" fontId="7" fillId="0" borderId="1" xfId="0" applyNumberFormat="1" applyFont="1" applyBorder="1" applyAlignment="1">
      <alignment horizontal="center" vertical="center"/>
    </xf>
    <xf numFmtId="0" fontId="0" fillId="0" borderId="0" xfId="0" applyFill="1"/>
    <xf numFmtId="0" fontId="2" fillId="0" borderId="0" xfId="0" applyFont="1" applyFill="1" applyAlignment="1">
      <alignment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165" fontId="2" fillId="0" borderId="0" xfId="1" applyNumberFormat="1" applyFont="1" applyFill="1" applyAlignment="1">
      <alignment vertical="center"/>
    </xf>
  </cellXfs>
  <cellStyles count="3">
    <cellStyle name="Currency" xfId="1" builtinId="4"/>
    <cellStyle name="Normal" xfId="0" builtinId="0"/>
    <cellStyle name="Percent" xfId="2" builtinId="5"/>
  </cellStyles>
  <dxfs count="83"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5" formatCode="_(&quot;$&quot;* #,##0_);_(&quot;$&quot;* \(#,##0\);_(&quot;$&quot;* &quot;-&quot;??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5" formatCode="_(&quot;$&quot;* #,##0_);_(&quot;$&quot;* \(#,##0\);_(&quot;$&quot;* &quot;-&quot;??_);_(@_)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"/>
      <alignment horizontal="center" vertical="center" textRotation="0" wrapText="0" indent="0" justifyLastLine="0" shrinkToFit="0" readingOrder="0"/>
    </dxf>
    <dxf>
      <numFmt numFmtId="19" formatCode="dd/mm/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"/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dd/mm/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dd/mm/yy;@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</dxf>
    <dxf>
      <numFmt numFmtId="19" formatCode="dd/mm/yy"/>
    </dxf>
    <dxf>
      <numFmt numFmtId="0" formatCode="General"/>
    </dxf>
    <dxf>
      <numFmt numFmtId="19" formatCode="dd/mm/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9" formatCode="dd/mm/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0" formatCode="General"/>
    </dxf>
    <dxf>
      <numFmt numFmtId="19" formatCode="dd/mm/yy"/>
    </dxf>
    <dxf>
      <numFmt numFmtId="0" formatCode="General"/>
    </dxf>
    <dxf>
      <numFmt numFmtId="19" formatCode="dd/mm/yy"/>
    </dxf>
    <dxf>
      <numFmt numFmtId="0" formatCode="General"/>
    </dxf>
    <dxf>
      <numFmt numFmtId="19" formatCode="dd/mm/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</dxfs>
  <tableStyles count="1" defaultTableStyle="Default" defaultPivotStyle="PivotStyleLight16">
    <tableStyle name="Default" pivot="0" count="2" xr9:uid="{1C2485DE-D59D-4552-95D4-174995D6C4DE}">
      <tableStyleElement type="wholeTable" dxfId="82"/>
      <tableStyleElement type="headerRow" dxfId="81"/>
    </tableStyle>
  </tableStyles>
  <colors>
    <mruColors>
      <color rgb="FFFF5050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Relationship Id="rId5" Type="http://schemas.openxmlformats.org/officeDocument/2006/relationships/chartUserShapes" Target="../drawings/drawing2.xml"/><Relationship Id="rId4" Type="http://schemas.openxmlformats.org/officeDocument/2006/relationships/image" Target="../media/image2.svg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000" b="1" i="0" u="none" strike="noStrike" kern="1200" spc="0" baseline="0">
                <a:solidFill>
                  <a:srgbClr val="FF505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sz="1000" b="1">
                <a:solidFill>
                  <a:srgbClr val="FF5050"/>
                </a:solidFill>
                <a:latin typeface="Arial Narrow" panose="020B0606020202030204" pitchFamily="34" charset="0"/>
              </a:rPr>
              <a:t>Completion Rate</a:t>
            </a:r>
          </a:p>
        </c:rich>
      </c:tx>
      <c:layout>
        <c:manualLayout>
          <c:xMode val="edge"/>
          <c:yMode val="edge"/>
          <c:x val="0.20506280031371446"/>
          <c:y val="0.574948564800398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000" b="1" i="0" u="none" strike="noStrike" kern="1200" spc="0" baseline="0">
              <a:solidFill>
                <a:srgbClr val="FF505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17286788662235E-2"/>
          <c:y val="0.13198978820872137"/>
          <c:w val="0.92776419066868787"/>
          <c:h val="0.89503168931922727"/>
        </c:manualLayout>
      </c:layout>
      <c:pieChart>
        <c:varyColors val="1"/>
        <c:ser>
          <c:idx val="0"/>
          <c:order val="0"/>
          <c:tx>
            <c:v>Data</c:v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1D2-4859-ABFA-9B625F969365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D2-4859-ABFA-9B625F969365}"/>
              </c:ext>
            </c:extLst>
          </c:dPt>
          <c:dPt>
            <c:idx val="2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D2-4859-ABFA-9B625F96936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1D2-4859-ABFA-9B625F969365}"/>
              </c:ext>
            </c:extLst>
          </c:dPt>
          <c:dLbls>
            <c:delete val="1"/>
          </c:dLbls>
          <c:val>
            <c:numRef>
              <c:f>tblPost!$T$10:$W$10</c:f>
              <c:numCache>
                <c:formatCode>General</c:formatCode>
                <c:ptCount val="4"/>
                <c:pt idx="0">
                  <c:v>180</c:v>
                </c:pt>
                <c:pt idx="1">
                  <c:v>11.357142857142856</c:v>
                </c:pt>
                <c:pt idx="2">
                  <c:v>3</c:v>
                </c:pt>
                <c:pt idx="3">
                  <c:v>165.64285714285714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D2-4859-ABFA-9B625F9693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</c:pieChart>
      <c:spPr>
        <a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a:blip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5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47071508149528E-2"/>
          <c:y val="0.25737587824647334"/>
          <c:w val="0.96989948455016295"/>
          <c:h val="0.545582076222316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tblPost!$R$2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tblPost!$S$1:$AD$1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tblPost!$S$2:$AD$2</c:f>
              <c:numCache>
                <c:formatCode>General;;\-</c:formatCode>
                <c:ptCount val="12"/>
                <c:pt idx="0">
                  <c:v>34</c:v>
                </c:pt>
                <c:pt idx="1">
                  <c:v>37</c:v>
                </c:pt>
                <c:pt idx="2">
                  <c:v>22</c:v>
                </c:pt>
                <c:pt idx="3">
                  <c:v>18</c:v>
                </c:pt>
                <c:pt idx="4">
                  <c:v>16</c:v>
                </c:pt>
                <c:pt idx="5">
                  <c:v>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E-4317-9D8B-6E0649ABFF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9"/>
        <c:overlap val="-27"/>
        <c:axId val="837368096"/>
        <c:axId val="837380576"/>
      </c:barChart>
      <c:catAx>
        <c:axId val="83736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837380576"/>
        <c:crosses val="autoZero"/>
        <c:auto val="1"/>
        <c:lblAlgn val="ctr"/>
        <c:lblOffset val="100"/>
        <c:noMultiLvlLbl val="0"/>
      </c:catAx>
      <c:valAx>
        <c:axId val="837380576"/>
        <c:scaling>
          <c:orientation val="minMax"/>
        </c:scaling>
        <c:delete val="1"/>
        <c:axPos val="l"/>
        <c:numFmt formatCode="General;;\-" sourceLinked="1"/>
        <c:majorTickMark val="none"/>
        <c:minorTickMark val="none"/>
        <c:tickLblPos val="nextTo"/>
        <c:crossAx val="83736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0F0F0"/>
    </a:solidFill>
    <a:ln w="9525" cap="flat" cmpd="sng" algn="ctr">
      <a:noFill/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47071508149528E-2"/>
          <c:y val="0.27236332820896697"/>
          <c:w val="0.86360814199685854"/>
          <c:h val="0.538173782945848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tblPost!$R$3</c:f>
              <c:strCache>
                <c:ptCount val="1"/>
                <c:pt idx="0">
                  <c:v>New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tblPost!$S$8:$AD$8</c:f>
              <c:strCache>
                <c:ptCount val="12"/>
                <c:pt idx="0">
                  <c:v>Jan (31)</c:v>
                </c:pt>
                <c:pt idx="1">
                  <c:v>Feb (17)</c:v>
                </c:pt>
                <c:pt idx="2">
                  <c:v>Mar (12)</c:v>
                </c:pt>
                <c:pt idx="3">
                  <c:v>Apr (15)</c:v>
                </c:pt>
                <c:pt idx="4">
                  <c:v>May (14)</c:v>
                </c:pt>
                <c:pt idx="5">
                  <c:v>Jun (13)</c:v>
                </c:pt>
                <c:pt idx="6">
                  <c:v>Jul (0)</c:v>
                </c:pt>
                <c:pt idx="7">
                  <c:v>Aug (0)</c:v>
                </c:pt>
                <c:pt idx="8">
                  <c:v>Sep (0)</c:v>
                </c:pt>
                <c:pt idx="9">
                  <c:v>Oct (0)</c:v>
                </c:pt>
                <c:pt idx="10">
                  <c:v>Nov (0)</c:v>
                </c:pt>
                <c:pt idx="11">
                  <c:v>Dec (0)</c:v>
                </c:pt>
              </c:strCache>
            </c:strRef>
          </c:cat>
          <c:val>
            <c:numRef>
              <c:f>tblPost!$S$3:$AD$3</c:f>
              <c:numCache>
                <c:formatCode>General;;\-</c:formatCode>
                <c:ptCount val="12"/>
                <c:pt idx="0">
                  <c:v>18</c:v>
                </c:pt>
                <c:pt idx="1">
                  <c:v>6</c:v>
                </c:pt>
                <c:pt idx="2">
                  <c:v>5</c:v>
                </c:pt>
                <c:pt idx="3">
                  <c:v>6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07-4492-BE54-79B9DB6859AC}"/>
            </c:ext>
          </c:extLst>
        </c:ser>
        <c:ser>
          <c:idx val="1"/>
          <c:order val="1"/>
          <c:tx>
            <c:strRef>
              <c:f>tblPost!$R$4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tblPost!$S$8:$AD$8</c:f>
              <c:strCache>
                <c:ptCount val="12"/>
                <c:pt idx="0">
                  <c:v>Jan (31)</c:v>
                </c:pt>
                <c:pt idx="1">
                  <c:v>Feb (17)</c:v>
                </c:pt>
                <c:pt idx="2">
                  <c:v>Mar (12)</c:v>
                </c:pt>
                <c:pt idx="3">
                  <c:v>Apr (15)</c:v>
                </c:pt>
                <c:pt idx="4">
                  <c:v>May (14)</c:v>
                </c:pt>
                <c:pt idx="5">
                  <c:v>Jun (13)</c:v>
                </c:pt>
                <c:pt idx="6">
                  <c:v>Jul (0)</c:v>
                </c:pt>
                <c:pt idx="7">
                  <c:v>Aug (0)</c:v>
                </c:pt>
                <c:pt idx="8">
                  <c:v>Sep (0)</c:v>
                </c:pt>
                <c:pt idx="9">
                  <c:v>Oct (0)</c:v>
                </c:pt>
                <c:pt idx="10">
                  <c:v>Nov (0)</c:v>
                </c:pt>
                <c:pt idx="11">
                  <c:v>Dec (0)</c:v>
                </c:pt>
              </c:strCache>
            </c:strRef>
          </c:cat>
          <c:val>
            <c:numRef>
              <c:f>tblPost!$S$4:$AD$4</c:f>
              <c:numCache>
                <c:formatCode>General;;\-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07-4492-BE54-79B9DB6859AC}"/>
            </c:ext>
          </c:extLst>
        </c:ser>
        <c:ser>
          <c:idx val="2"/>
          <c:order val="2"/>
          <c:tx>
            <c:strRef>
              <c:f>tblPost!$R$5</c:f>
              <c:strCache>
                <c:ptCount val="1"/>
                <c:pt idx="0">
                  <c:v>Closed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9144" tIns="0" rIns="9144" bIns="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5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tblPost!$S$8:$AD$8</c:f>
              <c:strCache>
                <c:ptCount val="12"/>
                <c:pt idx="0">
                  <c:v>Jan (31)</c:v>
                </c:pt>
                <c:pt idx="1">
                  <c:v>Feb (17)</c:v>
                </c:pt>
                <c:pt idx="2">
                  <c:v>Mar (12)</c:v>
                </c:pt>
                <c:pt idx="3">
                  <c:v>Apr (15)</c:v>
                </c:pt>
                <c:pt idx="4">
                  <c:v>May (14)</c:v>
                </c:pt>
                <c:pt idx="5">
                  <c:v>Jun (13)</c:v>
                </c:pt>
                <c:pt idx="6">
                  <c:v>Jul (0)</c:v>
                </c:pt>
                <c:pt idx="7">
                  <c:v>Aug (0)</c:v>
                </c:pt>
                <c:pt idx="8">
                  <c:v>Sep (0)</c:v>
                </c:pt>
                <c:pt idx="9">
                  <c:v>Oct (0)</c:v>
                </c:pt>
                <c:pt idx="10">
                  <c:v>Nov (0)</c:v>
                </c:pt>
                <c:pt idx="11">
                  <c:v>Dec (0)</c:v>
                </c:pt>
              </c:strCache>
            </c:strRef>
          </c:cat>
          <c:val>
            <c:numRef>
              <c:f>tblPost!$S$5:$AD$5</c:f>
              <c:numCache>
                <c:formatCode>General;;\-</c:formatCode>
                <c:ptCount val="12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07-4492-BE54-79B9DB6859AC}"/>
            </c:ext>
          </c:extLst>
        </c:ser>
        <c:ser>
          <c:idx val="3"/>
          <c:order val="3"/>
          <c:tx>
            <c:strRef>
              <c:f>tblPost!$R$6</c:f>
              <c:strCache>
                <c:ptCount val="1"/>
                <c:pt idx="0">
                  <c:v>Cancelled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tblPost!$S$8:$AD$8</c:f>
              <c:strCache>
                <c:ptCount val="12"/>
                <c:pt idx="0">
                  <c:v>Jan (31)</c:v>
                </c:pt>
                <c:pt idx="1">
                  <c:v>Feb (17)</c:v>
                </c:pt>
                <c:pt idx="2">
                  <c:v>Mar (12)</c:v>
                </c:pt>
                <c:pt idx="3">
                  <c:v>Apr (15)</c:v>
                </c:pt>
                <c:pt idx="4">
                  <c:v>May (14)</c:v>
                </c:pt>
                <c:pt idx="5">
                  <c:v>Jun (13)</c:v>
                </c:pt>
                <c:pt idx="6">
                  <c:v>Jul (0)</c:v>
                </c:pt>
                <c:pt idx="7">
                  <c:v>Aug (0)</c:v>
                </c:pt>
                <c:pt idx="8">
                  <c:v>Sep (0)</c:v>
                </c:pt>
                <c:pt idx="9">
                  <c:v>Oct (0)</c:v>
                </c:pt>
                <c:pt idx="10">
                  <c:v>Nov (0)</c:v>
                </c:pt>
                <c:pt idx="11">
                  <c:v>Dec (0)</c:v>
                </c:pt>
              </c:strCache>
            </c:strRef>
          </c:cat>
          <c:val>
            <c:numRef>
              <c:f>tblPost!$S$6:$AD$6</c:f>
              <c:numCache>
                <c:formatCode>General;;\-</c:formatCode>
                <c:ptCount val="12"/>
                <c:pt idx="0">
                  <c:v>0</c:v>
                </c:pt>
                <c:pt idx="1">
                  <c:v>16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07-4492-BE54-79B9DB6859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47"/>
        <c:axId val="837368096"/>
        <c:axId val="837380576"/>
      </c:barChart>
      <c:catAx>
        <c:axId val="83736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837380576"/>
        <c:crosses val="autoZero"/>
        <c:auto val="1"/>
        <c:lblAlgn val="ctr"/>
        <c:lblOffset val="100"/>
        <c:noMultiLvlLbl val="0"/>
      </c:catAx>
      <c:valAx>
        <c:axId val="837380576"/>
        <c:scaling>
          <c:orientation val="minMax"/>
        </c:scaling>
        <c:delete val="1"/>
        <c:axPos val="l"/>
        <c:numFmt formatCode="General;;\-" sourceLinked="1"/>
        <c:majorTickMark val="none"/>
        <c:minorTickMark val="none"/>
        <c:tickLblPos val="nextTo"/>
        <c:crossAx val="83736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249870542574216"/>
          <c:y val="5.8663363881047828E-2"/>
          <c:w val="0.11156109631463806"/>
          <c:h val="0.854636400848286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0F0F0"/>
    </a:solidFill>
    <a:ln w="9525" cap="flat" cmpd="sng" algn="ctr">
      <a:noFill/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276065090239722E-2"/>
          <c:y val="0.29516149115845469"/>
          <c:w val="0.72792289681987798"/>
          <c:h val="0.50842373407704233"/>
        </c:manualLayout>
      </c:layout>
      <c:lineChart>
        <c:grouping val="standard"/>
        <c:varyColors val="0"/>
        <c:ser>
          <c:idx val="0"/>
          <c:order val="0"/>
          <c:tx>
            <c:v>Application</c:v>
          </c:tx>
          <c:spPr>
            <a:ln w="28575" cap="rnd">
              <a:solidFill>
                <a:srgbClr val="00B0F0"/>
              </a:solidFill>
              <a:round/>
              <a:headEnd w="lg" len="lg"/>
              <a:tailEnd w="lg" len="lg"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12"/>
            <c:spPr>
              <a:solidFill>
                <a:schemeClr val="bg1"/>
              </a:solidFill>
              <a:ln w="9525" cmpd="thickThin">
                <a:solidFill>
                  <a:schemeClr val="accent2"/>
                </a:solidFill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tblPost!$S$1:$AD$1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tblPost!$S$17:$AD$17</c:f>
              <c:numCache>
                <c:formatCode>General;;\-</c:formatCode>
                <c:ptCount val="12"/>
                <c:pt idx="0">
                  <c:v>155</c:v>
                </c:pt>
                <c:pt idx="1">
                  <c:v>54</c:v>
                </c:pt>
                <c:pt idx="2">
                  <c:v>105</c:v>
                </c:pt>
                <c:pt idx="3">
                  <c:v>184</c:v>
                </c:pt>
                <c:pt idx="4">
                  <c:v>41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7B-4093-B1ED-D4738FE4B79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335376"/>
        <c:axId val="1238337040"/>
      </c:lineChart>
      <c:catAx>
        <c:axId val="123833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38337040"/>
        <c:crosses val="autoZero"/>
        <c:auto val="1"/>
        <c:lblAlgn val="ctr"/>
        <c:lblOffset val="100"/>
        <c:noMultiLvlLbl val="0"/>
      </c:catAx>
      <c:valAx>
        <c:axId val="1238337040"/>
        <c:scaling>
          <c:orientation val="minMax"/>
        </c:scaling>
        <c:delete val="1"/>
        <c:axPos val="l"/>
        <c:numFmt formatCode="General;;\-" sourceLinked="1"/>
        <c:majorTickMark val="none"/>
        <c:minorTickMark val="none"/>
        <c:tickLblPos val="nextTo"/>
        <c:crossAx val="123833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0F0F0"/>
    </a:solidFill>
    <a:ln w="9525" cap="flat" cmpd="sng" algn="ctr">
      <a:noFill/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684648255461212"/>
          <c:y val="0.18224285847755523"/>
          <c:w val="0.52795689403554336"/>
          <c:h val="0.68994302553522313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41C-43E8-BE73-335738C263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41C-43E8-BE73-335738C263F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41C-43E8-BE73-335738C263F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41C-43E8-BE73-335738C263F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41C-43E8-BE73-335738C263F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41C-43E8-BE73-335738C263F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41C-43E8-BE73-335738C263F3}"/>
              </c:ext>
            </c:extLst>
          </c:dPt>
          <c:dLbls>
            <c:dLbl>
              <c:idx val="0"/>
              <c:layout>
                <c:manualLayout>
                  <c:x val="0.17753309700168654"/>
                  <c:y val="5.820395835021333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" b="1" i="0" u="none" strike="noStrike" kern="1200" baseline="0">
                      <a:solidFill>
                        <a:srgbClr val="00206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0325100798137832"/>
                      <c:h val="0.2567050176081678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41C-43E8-BE73-335738C263F3}"/>
                </c:ext>
              </c:extLst>
            </c:dLbl>
            <c:dLbl>
              <c:idx val="1"/>
              <c:layout>
                <c:manualLayout>
                  <c:x val="-8.0504022101541131E-2"/>
                  <c:y val="0.1151037805875948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" b="1" i="0" u="none" strike="noStrike" kern="1200" baseline="0">
                      <a:solidFill>
                        <a:srgbClr val="00206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8948974468430433"/>
                      <c:h val="0.220898108157855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41C-43E8-BE73-335738C263F3}"/>
                </c:ext>
              </c:extLst>
            </c:dLbl>
            <c:dLbl>
              <c:idx val="2"/>
              <c:layout>
                <c:manualLayout>
                  <c:x val="-0.16752325195054094"/>
                  <c:y val="6.618502241327475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" b="1" i="0" u="none" strike="noStrike" kern="1200" baseline="0">
                      <a:solidFill>
                        <a:srgbClr val="00206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6408287385041296"/>
                      <c:h val="0.2164134120415965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41C-43E8-BE73-335738C263F3}"/>
                </c:ext>
              </c:extLst>
            </c:dLbl>
            <c:dLbl>
              <c:idx val="3"/>
              <c:layout>
                <c:manualLayout>
                  <c:x val="-0.25752859938706751"/>
                  <c:y val="1.332040506757653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328691429132256"/>
                      <c:h val="0.2793923862341042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41C-43E8-BE73-335738C263F3}"/>
                </c:ext>
              </c:extLst>
            </c:dLbl>
            <c:dLbl>
              <c:idx val="4"/>
              <c:layout>
                <c:manualLayout>
                  <c:x val="-0.23118742013169857"/>
                  <c:y val="-8.78410150217800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" b="1" i="0" u="none" strike="noStrike" kern="1200" baseline="0">
                      <a:solidFill>
                        <a:srgbClr val="00206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8414947220768871"/>
                      <c:h val="0.216160433657291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41C-43E8-BE73-335738C263F3}"/>
                </c:ext>
              </c:extLst>
            </c:dLbl>
            <c:dLbl>
              <c:idx val="5"/>
              <c:layout>
                <c:manualLayout>
                  <c:x val="-4.8955287821956961E-2"/>
                  <c:y val="-0.1359418937995488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" b="1" i="0" u="none" strike="noStrike" kern="1200" baseline="0">
                      <a:solidFill>
                        <a:srgbClr val="00206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336013205486844"/>
                      <c:h val="0.2148064961990324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41C-43E8-BE73-335738C263F3}"/>
                </c:ext>
              </c:extLst>
            </c:dLbl>
            <c:dLbl>
              <c:idx val="6"/>
              <c:layout>
                <c:manualLayout>
                  <c:x val="0.15729714543682266"/>
                  <c:y val="-0.1360972274464347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" b="1" i="0" u="none" strike="noStrike" kern="1200" baseline="0">
                      <a:solidFill>
                        <a:srgbClr val="00206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816084204977179"/>
                      <c:h val="0.231671836108483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41C-43E8-BE73-335738C263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rgbClr val="00206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tblPost!$R$20:$R$26</c:f>
              <c:strCache>
                <c:ptCount val="7"/>
                <c:pt idx="0">
                  <c:v>CamHR</c:v>
                </c:pt>
                <c:pt idx="1">
                  <c:v>Telegram</c:v>
                </c:pt>
                <c:pt idx="2">
                  <c:v>Khmer24</c:v>
                </c:pt>
                <c:pt idx="3">
                  <c:v>Referral</c:v>
                </c:pt>
                <c:pt idx="4">
                  <c:v>BongThom</c:v>
                </c:pt>
                <c:pt idx="5">
                  <c:v>LinkedIn</c:v>
                </c:pt>
                <c:pt idx="6">
                  <c:v>Others</c:v>
                </c:pt>
              </c:strCache>
            </c:strRef>
          </c:cat>
          <c:val>
            <c:numRef>
              <c:f>tblPost!$AE$20:$AE$26</c:f>
              <c:numCache>
                <c:formatCode>General;;\-</c:formatCode>
                <c:ptCount val="7"/>
                <c:pt idx="0">
                  <c:v>246</c:v>
                </c:pt>
                <c:pt idx="1">
                  <c:v>126</c:v>
                </c:pt>
                <c:pt idx="2">
                  <c:v>106</c:v>
                </c:pt>
                <c:pt idx="3">
                  <c:v>33</c:v>
                </c:pt>
                <c:pt idx="4">
                  <c:v>22</c:v>
                </c:pt>
                <c:pt idx="5">
                  <c:v>6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41C-43E8-BE73-335738C26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0F0F0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780394729379957E-2"/>
          <c:y val="0.33811667955176838"/>
          <c:w val="0.94723811043933337"/>
          <c:h val="0.44313059972021512"/>
        </c:manualLayout>
      </c:layout>
      <c:barChart>
        <c:barDir val="col"/>
        <c:grouping val="clustered"/>
        <c:varyColors val="0"/>
        <c:ser>
          <c:idx val="0"/>
          <c:order val="0"/>
          <c:tx>
            <c:v>1st Interview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tblPost!$S$1:$AD$1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tblPost!$S$29:$AD$29</c:f>
              <c:numCache>
                <c:formatCode>General;;\-</c:formatCode>
                <c:ptCount val="12"/>
                <c:pt idx="0">
                  <c:v>49</c:v>
                </c:pt>
                <c:pt idx="1">
                  <c:v>38</c:v>
                </c:pt>
                <c:pt idx="2">
                  <c:v>26</c:v>
                </c:pt>
                <c:pt idx="3">
                  <c:v>27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1A-4B8C-9488-594567542F02}"/>
            </c:ext>
          </c:extLst>
        </c:ser>
        <c:ser>
          <c:idx val="1"/>
          <c:order val="1"/>
          <c:tx>
            <c:v>2nd Interview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tblPost!$S$1:$AD$1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tblPost!$S$30:$AD$30</c:f>
              <c:numCache>
                <c:formatCode>General;;\-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1A-4B8C-9488-594567542F02}"/>
            </c:ext>
          </c:extLst>
        </c:ser>
        <c:ser>
          <c:idx val="2"/>
          <c:order val="2"/>
          <c:tx>
            <c:v>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tblPost!$S$1:$AD$1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tblPost!$S$31:$AD$31</c:f>
              <c:numCache>
                <c:formatCode>General;;\-</c:formatCode>
                <c:ptCount val="12"/>
                <c:pt idx="0">
                  <c:v>55</c:v>
                </c:pt>
                <c:pt idx="1">
                  <c:v>45</c:v>
                </c:pt>
                <c:pt idx="2">
                  <c:v>33</c:v>
                </c:pt>
                <c:pt idx="3">
                  <c:v>34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1A-4B8C-9488-594567542F0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49"/>
        <c:overlap val="-7"/>
        <c:axId val="1171874224"/>
        <c:axId val="1171876304"/>
      </c:barChart>
      <c:catAx>
        <c:axId val="1171874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71876304"/>
        <c:crosses val="autoZero"/>
        <c:auto val="1"/>
        <c:lblAlgn val="ctr"/>
        <c:lblOffset val="100"/>
        <c:noMultiLvlLbl val="0"/>
      </c:catAx>
      <c:valAx>
        <c:axId val="1171876304"/>
        <c:scaling>
          <c:orientation val="minMax"/>
        </c:scaling>
        <c:delete val="1"/>
        <c:axPos val="l"/>
        <c:numFmt formatCode="General;;\-" sourceLinked="1"/>
        <c:majorTickMark val="none"/>
        <c:minorTickMark val="none"/>
        <c:tickLblPos val="nextTo"/>
        <c:crossAx val="117187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379127063056491"/>
          <c:y val="0.13869438521073513"/>
          <c:w val="0.33121297614164902"/>
          <c:h val="0.1820741332291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0F0F0"/>
    </a:solidFill>
    <a:ln w="9525" cap="flat" cmpd="sng" algn="ctr">
      <a:noFill/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40321574743599"/>
          <c:y val="0.20435309695909581"/>
          <c:w val="0.64026259523027873"/>
          <c:h val="0.5967934692360441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0F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tblPost!$R$13:$R$17</c:f>
              <c:strCache>
                <c:ptCount val="5"/>
                <c:pt idx="0">
                  <c:v>Passed</c:v>
                </c:pt>
                <c:pt idx="1">
                  <c:v>2_interv</c:v>
                </c:pt>
                <c:pt idx="2">
                  <c:v>1_interv</c:v>
                </c:pt>
                <c:pt idx="3">
                  <c:v>Shortlisted</c:v>
                </c:pt>
                <c:pt idx="4">
                  <c:v>Applicant</c:v>
                </c:pt>
              </c:strCache>
            </c:strRef>
          </c:cat>
          <c:val>
            <c:numRef>
              <c:f>tblPost!$AE$13:$AE$17</c:f>
              <c:numCache>
                <c:formatCode>;;;</c:formatCode>
                <c:ptCount val="5"/>
                <c:pt idx="0">
                  <c:v>266.5</c:v>
                </c:pt>
                <c:pt idx="1">
                  <c:v>255.5</c:v>
                </c:pt>
                <c:pt idx="2">
                  <c:v>198</c:v>
                </c:pt>
                <c:pt idx="3">
                  <c:v>190.5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09-4F41-922B-542447804A4E}"/>
            </c:ext>
          </c:extLst>
        </c:ser>
        <c:ser>
          <c:idx val="1"/>
          <c:order val="1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tblPost!$R$13:$R$17</c:f>
              <c:strCache>
                <c:ptCount val="5"/>
                <c:pt idx="0">
                  <c:v>Passed</c:v>
                </c:pt>
                <c:pt idx="1">
                  <c:v>2_interv</c:v>
                </c:pt>
                <c:pt idx="2">
                  <c:v>1_interv</c:v>
                </c:pt>
                <c:pt idx="3">
                  <c:v>Shortlisted</c:v>
                </c:pt>
                <c:pt idx="4">
                  <c:v>Applicant</c:v>
                </c:pt>
              </c:strCache>
            </c:strRef>
          </c:cat>
          <c:val>
            <c:numRef>
              <c:f>tblPost!$AF$13:$AF$17</c:f>
              <c:numCache>
                <c:formatCode>General;;\-</c:formatCode>
                <c:ptCount val="5"/>
                <c:pt idx="0">
                  <c:v>6</c:v>
                </c:pt>
                <c:pt idx="1">
                  <c:v>28</c:v>
                </c:pt>
                <c:pt idx="2">
                  <c:v>143</c:v>
                </c:pt>
                <c:pt idx="3">
                  <c:v>158</c:v>
                </c:pt>
                <c:pt idx="4">
                  <c:v>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09-4F41-922B-542447804A4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"/>
        <c:overlap val="100"/>
        <c:axId val="1459889888"/>
        <c:axId val="1459884896"/>
      </c:barChart>
      <c:catAx>
        <c:axId val="1459889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459884896"/>
        <c:crosses val="autoZero"/>
        <c:auto val="1"/>
        <c:lblAlgn val="ctr"/>
        <c:lblOffset val="100"/>
        <c:noMultiLvlLbl val="0"/>
      </c:catAx>
      <c:valAx>
        <c:axId val="1459884896"/>
        <c:scaling>
          <c:orientation val="minMax"/>
        </c:scaling>
        <c:delete val="0"/>
        <c:axPos val="b"/>
        <c:numFmt formatCode=";;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45988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0F0F0"/>
    </a:solidFill>
    <a:ln w="9525" cap="flat" cmpd="sng" algn="ctr">
      <a:noFill/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236194</xdr:colOff>
      <xdr:row>0</xdr:row>
      <xdr:rowOff>0</xdr:rowOff>
    </xdr:from>
    <xdr:to>
      <xdr:col>34</xdr:col>
      <xdr:colOff>85851</xdr:colOff>
      <xdr:row>9</xdr:row>
      <xdr:rowOff>132773</xdr:rowOff>
    </xdr:to>
    <xdr:graphicFrame macro="">
      <xdr:nvGraphicFramePr>
        <xdr:cNvPr id="2" name="img_1">
          <a:extLst>
            <a:ext uri="{FF2B5EF4-FFF2-40B4-BE49-F238E27FC236}">
              <a16:creationId xmlns:a16="http://schemas.microsoft.com/office/drawing/2014/main" id="{4F3D8A99-9F7B-4FFB-8316-AB15CCF627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56573</xdr:colOff>
      <xdr:row>0</xdr:row>
      <xdr:rowOff>0</xdr:rowOff>
    </xdr:from>
    <xdr:to>
      <xdr:col>39</xdr:col>
      <xdr:colOff>190501</xdr:colOff>
      <xdr:row>7</xdr:row>
      <xdr:rowOff>66964</xdr:rowOff>
    </xdr:to>
    <xdr:graphicFrame macro="">
      <xdr:nvGraphicFramePr>
        <xdr:cNvPr id="3" name="img_2">
          <a:extLst>
            <a:ext uri="{FF2B5EF4-FFF2-40B4-BE49-F238E27FC236}">
              <a16:creationId xmlns:a16="http://schemas.microsoft.com/office/drawing/2014/main" id="{ADF29BBA-9B39-4F76-99F8-95AE751642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150093</xdr:colOff>
      <xdr:row>0</xdr:row>
      <xdr:rowOff>0</xdr:rowOff>
    </xdr:from>
    <xdr:to>
      <xdr:col>50</xdr:col>
      <xdr:colOff>92366</xdr:colOff>
      <xdr:row>7</xdr:row>
      <xdr:rowOff>57727</xdr:rowOff>
    </xdr:to>
    <xdr:graphicFrame macro="">
      <xdr:nvGraphicFramePr>
        <xdr:cNvPr id="4" name="img_3">
          <a:extLst>
            <a:ext uri="{FF2B5EF4-FFF2-40B4-BE49-F238E27FC236}">
              <a16:creationId xmlns:a16="http://schemas.microsoft.com/office/drawing/2014/main" id="{BDC10F67-134A-40AC-BBAC-AF87551B0D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35466</xdr:colOff>
      <xdr:row>7</xdr:row>
      <xdr:rowOff>133473</xdr:rowOff>
    </xdr:from>
    <xdr:to>
      <xdr:col>47</xdr:col>
      <xdr:colOff>318518</xdr:colOff>
      <xdr:row>15</xdr:row>
      <xdr:rowOff>34975</xdr:rowOff>
    </xdr:to>
    <xdr:graphicFrame macro="">
      <xdr:nvGraphicFramePr>
        <xdr:cNvPr id="5" name="img_4">
          <a:extLst>
            <a:ext uri="{FF2B5EF4-FFF2-40B4-BE49-F238E27FC236}">
              <a16:creationId xmlns:a16="http://schemas.microsoft.com/office/drawing/2014/main" id="{3DE33256-DA2C-42E0-96F9-A246E4696F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43892</xdr:colOff>
      <xdr:row>8</xdr:row>
      <xdr:rowOff>40411</xdr:rowOff>
    </xdr:from>
    <xdr:to>
      <xdr:col>46</xdr:col>
      <xdr:colOff>502228</xdr:colOff>
      <xdr:row>14</xdr:row>
      <xdr:rowOff>173183</xdr:rowOff>
    </xdr:to>
    <xdr:graphicFrame macro="">
      <xdr:nvGraphicFramePr>
        <xdr:cNvPr id="6" name="img_5">
          <a:extLst>
            <a:ext uri="{FF2B5EF4-FFF2-40B4-BE49-F238E27FC236}">
              <a16:creationId xmlns:a16="http://schemas.microsoft.com/office/drawing/2014/main" id="{6C30AB19-8A1A-4BA6-925F-F08A6D7DF7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39543</xdr:colOff>
      <xdr:row>15</xdr:row>
      <xdr:rowOff>32146</xdr:rowOff>
    </xdr:from>
    <xdr:to>
      <xdr:col>43</xdr:col>
      <xdr:colOff>502228</xdr:colOff>
      <xdr:row>21</xdr:row>
      <xdr:rowOff>135489</xdr:rowOff>
    </xdr:to>
    <xdr:graphicFrame macro="">
      <xdr:nvGraphicFramePr>
        <xdr:cNvPr id="7" name="img_6">
          <a:extLst>
            <a:ext uri="{FF2B5EF4-FFF2-40B4-BE49-F238E27FC236}">
              <a16:creationId xmlns:a16="http://schemas.microsoft.com/office/drawing/2014/main" id="{F8C67525-8541-4C34-9066-192D343844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396317</xdr:colOff>
      <xdr:row>15</xdr:row>
      <xdr:rowOff>10381</xdr:rowOff>
    </xdr:from>
    <xdr:to>
      <xdr:col>47</xdr:col>
      <xdr:colOff>286124</xdr:colOff>
      <xdr:row>21</xdr:row>
      <xdr:rowOff>173182</xdr:rowOff>
    </xdr:to>
    <xdr:graphicFrame macro="">
      <xdr:nvGraphicFramePr>
        <xdr:cNvPr id="8" name="img_7">
          <a:extLst>
            <a:ext uri="{FF2B5EF4-FFF2-40B4-BE49-F238E27FC236}">
              <a16:creationId xmlns:a16="http://schemas.microsoft.com/office/drawing/2014/main" id="{DEAA3598-6982-4DAA-BF3B-D10589F6AF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0.47044</cdr:x>
      <cdr:y>0.52235</cdr:y>
    </cdr:from>
    <cdr:to>
      <cdr:x>0.53197</cdr:x>
      <cdr:y>0.58123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A3C2E700-4F1E-49BB-9719-CFC76E967540}"/>
            </a:ext>
          </a:extLst>
        </cdr:cNvPr>
        <cdr:cNvSpPr/>
      </cdr:nvSpPr>
      <cdr:spPr>
        <a:xfrm xmlns:a="http://schemas.openxmlformats.org/drawingml/2006/main">
          <a:off x="698252" y="803657"/>
          <a:ext cx="91319" cy="90582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0.02477</cdr:x>
      <cdr:y>0.53224</cdr:y>
    </cdr:from>
    <cdr:to>
      <cdr:x>0.18067</cdr:x>
      <cdr:y>0.62792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2F132EC-7C81-4C4E-A202-3FBF4E1C36E0}"/>
            </a:ext>
          </a:extLst>
        </cdr:cNvPr>
        <cdr:cNvSpPr txBox="1"/>
      </cdr:nvSpPr>
      <cdr:spPr>
        <a:xfrm xmlns:a="http://schemas.openxmlformats.org/drawingml/2006/main">
          <a:off x="36763" y="818862"/>
          <a:ext cx="231398" cy="1472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en-US" sz="700" b="1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</a:rPr>
            <a:t>0%</a:t>
          </a:r>
        </a:p>
      </cdr:txBody>
    </cdr:sp>
  </cdr:relSizeAnchor>
  <cdr:relSizeAnchor xmlns:cdr="http://schemas.openxmlformats.org/drawingml/2006/chartDrawing">
    <cdr:from>
      <cdr:x>0.82037</cdr:x>
      <cdr:y>0.53224</cdr:y>
    </cdr:from>
    <cdr:to>
      <cdr:x>0.97627</cdr:x>
      <cdr:y>0.62792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36232A4D-109C-4723-BD51-4C8C4D82C3F4}"/>
            </a:ext>
          </a:extLst>
        </cdr:cNvPr>
        <cdr:cNvSpPr txBox="1"/>
      </cdr:nvSpPr>
      <cdr:spPr>
        <a:xfrm xmlns:a="http://schemas.openxmlformats.org/drawingml/2006/main">
          <a:off x="1217633" y="818862"/>
          <a:ext cx="231399" cy="1472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en-US" sz="700" b="1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</a:rPr>
            <a:t>100%</a:t>
          </a:r>
        </a:p>
      </cdr:txBody>
    </cdr:sp>
  </cdr:relSizeAnchor>
  <cdr:relSizeAnchor xmlns:cdr="http://schemas.openxmlformats.org/drawingml/2006/chartDrawing">
    <cdr:from>
      <cdr:x>0.29164</cdr:x>
      <cdr:y>0.6553</cdr:y>
    </cdr:from>
    <cdr:to>
      <cdr:x>0.75775</cdr:x>
      <cdr:y>0.78875</cdr:y>
    </cdr:to>
    <cdr:sp macro="" textlink="tblPost!$S$10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753E1B64-DFA5-4DCA-8648-0F8E5E42196E}"/>
            </a:ext>
          </a:extLst>
        </cdr:cNvPr>
        <cdr:cNvSpPr txBox="1"/>
      </cdr:nvSpPr>
      <cdr:spPr>
        <a:xfrm xmlns:a="http://schemas.openxmlformats.org/drawingml/2006/main">
          <a:off x="432601" y="1142418"/>
          <a:ext cx="691399" cy="2326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9D1C97AF-1558-4558-904C-80DCCCBB1E92}" type="TxLink">
            <a:rPr lang="en-US" sz="1800" b="1" i="0" u="none" strike="noStrike">
              <a:solidFill>
                <a:schemeClr val="accent1"/>
              </a:solidFill>
              <a:latin typeface="GrotesqueNo9T" pitchFamily="2" charset="0"/>
            </a:rPr>
            <a:pPr algn="ctr"/>
            <a:t>7%</a:t>
          </a:fld>
          <a:endParaRPr lang="en-US" sz="1000" b="1">
            <a:solidFill>
              <a:schemeClr val="accent1"/>
            </a:solidFill>
            <a:latin typeface="GrotesqueNo9T" pitchFamily="2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0.38232</cdr:x>
      <cdr:y>0.34385</cdr:y>
    </cdr:from>
    <cdr:to>
      <cdr:x>0.6577</cdr:x>
      <cdr:y>0.7078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D775A94E-56BD-4F96-A1EC-2311DC6BE0D1}"/>
            </a:ext>
          </a:extLst>
        </cdr:cNvPr>
        <cdr:cNvSpPr/>
      </cdr:nvSpPr>
      <cdr:spPr>
        <a:xfrm xmlns:a="http://schemas.openxmlformats.org/drawingml/2006/main">
          <a:off x="582895" y="401159"/>
          <a:ext cx="419844" cy="424604"/>
        </a:xfrm>
        <a:prstGeom xmlns:a="http://schemas.openxmlformats.org/drawingml/2006/main" prst="ellipse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0.36299</cdr:x>
      <cdr:y>0.46464</cdr:y>
    </cdr:from>
    <cdr:to>
      <cdr:x>0.68672</cdr:x>
      <cdr:y>0.70739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8E0F7365-3019-4AD0-B135-415A826999EB}"/>
            </a:ext>
          </a:extLst>
        </cdr:cNvPr>
        <cdr:cNvSpPr txBox="1"/>
      </cdr:nvSpPr>
      <cdr:spPr>
        <a:xfrm xmlns:a="http://schemas.openxmlformats.org/drawingml/2006/main">
          <a:off x="553422" y="542081"/>
          <a:ext cx="493569" cy="2832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8CDC311-B9D5-4338-B9C4-5A69A5A5A0F4}" type="TxLink">
            <a:rPr lang="en-US" sz="1200" b="1" i="0" u="none" strike="noStrike">
              <a:solidFill>
                <a:schemeClr val="accent2"/>
              </a:solidFill>
              <a:latin typeface="Arial Narrow"/>
            </a:rPr>
            <a:pPr algn="ctr"/>
            <a:t>539</a:t>
          </a:fld>
          <a:endParaRPr lang="en-US" sz="1200" b="1">
            <a:solidFill>
              <a:schemeClr val="accent2"/>
            </a:solidFill>
          </a:endParaRPr>
        </a:p>
      </cdr:txBody>
    </cdr:sp>
  </cdr:relSizeAnchor>
  <cdr:relSizeAnchor xmlns:cdr="http://schemas.openxmlformats.org/drawingml/2006/chartDrawing">
    <cdr:from>
      <cdr:x>0.3688</cdr:x>
      <cdr:y>0.39459</cdr:y>
    </cdr:from>
    <cdr:to>
      <cdr:x>0.68618</cdr:x>
      <cdr:y>0.56238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ECBA04E2-A53E-4F5D-9D7B-129F0B1E3344}"/>
            </a:ext>
          </a:extLst>
        </cdr:cNvPr>
        <cdr:cNvSpPr txBox="1"/>
      </cdr:nvSpPr>
      <cdr:spPr>
        <a:xfrm xmlns:a="http://schemas.openxmlformats.org/drawingml/2006/main">
          <a:off x="562275" y="460355"/>
          <a:ext cx="483888" cy="1957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00" b="1">
              <a:latin typeface="Arial" panose="020B0604020202020204" pitchFamily="34" charset="0"/>
              <a:cs typeface="Arial" panose="020B0604020202020204" pitchFamily="34" charset="0"/>
            </a:rPr>
            <a:t>TOTAL</a:t>
          </a:r>
        </a:p>
      </cdr:txBody>
    </cdr: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" xr16:uid="{861BE0C8-7677-47AF-A842-5A27020CE99D}" autoFormatId="16" applyNumberFormats="0" applyBorderFormats="0" applyFontFormats="0" applyPatternFormats="0" applyAlignmentFormats="0" applyWidthHeightFormats="0">
  <queryTableRefresh nextId="36">
    <queryTableFields count="15">
      <queryTableField id="22" name="No" tableColumnId="20"/>
      <queryTableField id="2" name="CandID" tableColumnId="2"/>
      <queryTableField id="3" name="Cand_Name" tableColumnId="3"/>
      <queryTableField id="4" name="PostID" tableColumnId="4"/>
      <queryTableField id="5" name="Position" tableColumnId="5"/>
      <queryTableField id="24" name="Appl_Date" tableColumnId="1"/>
      <queryTableField id="7" name="Source" tableColumnId="7"/>
      <queryTableField id="25" name="Status" tableColumnId="6"/>
      <queryTableField id="26" name="Status_Date" tableColumnId="8"/>
      <queryTableField id="27" name="Result" tableColumnId="9"/>
      <queryTableField id="32" name="Offer_Date" tableColumnId="10"/>
      <queryTableField id="33" name="Offer_Stat" tableColumnId="11"/>
      <queryTableField id="14" name="KIV" tableColumnId="14"/>
      <queryTableField id="19" name="Aging" tableColumnId="19"/>
      <queryTableField id="17" name="Remark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3" xr16:uid="{6E56DDA6-B57C-40E8-A820-7BB2B93B2961}" autoFormatId="16" applyNumberFormats="0" applyBorderFormats="0" applyFontFormats="0" applyPatternFormats="0" applyAlignmentFormats="0" applyWidthHeightFormats="0">
  <queryTableRefresh nextId="29">
    <queryTableFields count="14">
      <queryTableField id="1" name="No" tableColumnId="1"/>
      <queryTableField id="2" name="PostID" tableColumnId="2"/>
      <queryTableField id="3" name="Position" tableColumnId="3"/>
      <queryTableField id="4" name="Section" tableColumnId="4"/>
      <queryTableField id="5" name="Department" tableColumnId="5"/>
      <queryTableField id="6" name="Location" tableColumnId="6"/>
      <queryTableField id="7" name="BU" tableColumnId="7"/>
      <queryTableField id="8" name="Appr_Date" tableColumnId="8"/>
      <queryTableField id="9" name="Priority" tableColumnId="9"/>
      <queryTableField id="10" name="Post_Status" tableColumnId="10"/>
      <queryTableField id="11" name="Stat_Date" tableColumnId="11"/>
      <queryTableField id="12" name="Aging" tableColumnId="12"/>
      <queryTableField id="21" name="Num_App" tableColumnId="13"/>
      <queryTableField id="23" name="Remarks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06992C7C-BBC1-4824-B94B-15701B2673F7}" autoFormatId="16" applyNumberFormats="0" applyBorderFormats="0" applyFontFormats="0" applyPatternFormats="0" applyAlignmentFormats="0" applyWidthHeightFormats="0">
  <queryTableRefresh nextId="18">
    <queryTableFields count="17">
      <queryTableField id="1" name="No" tableColumnId="1"/>
      <queryTableField id="2" name="CandID" tableColumnId="2"/>
      <queryTableField id="3" name="Cand_Name" tableColumnId="3"/>
      <queryTableField id="4" name="Sex" tableColumnId="4"/>
      <queryTableField id="5" name="Edu" tableColumnId="5"/>
      <queryTableField id="6" name="Cand_Post" tableColumnId="6"/>
      <queryTableField id="7" name="Cand_Com" tableColumnId="7"/>
      <queryTableField id="8" name="Industry" tableColumnId="8"/>
      <queryTableField id="9" name="Contact" tableColumnId="9"/>
      <queryTableField id="10" name="Position" tableColumnId="10"/>
      <queryTableField id="11" name="Appl_Date" tableColumnId="11"/>
      <queryTableField id="12" name="Source" tableColumnId="12"/>
      <queryTableField id="13" name="Status" tableColumnId="13"/>
      <queryTableField id="14" name="Status_Date" tableColumnId="14"/>
      <queryTableField id="15" name="Result" tableColumnId="15"/>
      <queryTableField id="16" name="Aging" tableColumnId="16"/>
      <queryTableField id="17" name="Remark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173D44-042D-4D32-A628-BB14EAA1765A}" name="tblApp" displayName="tblApp" ref="A1:O620" tableType="queryTable" totalsRowShown="0" headerRowDxfId="80">
  <autoFilter ref="A1:O620" xr:uid="{4B173D44-042D-4D32-A628-BB14EAA1765A}"/>
  <tableColumns count="15">
    <tableColumn id="20" xr3:uid="{52F0999B-B5E6-4B8A-8679-826E05EABAF1}" uniqueName="20" name="No" queryTableFieldId="22"/>
    <tableColumn id="2" xr3:uid="{56FC7E69-00CC-44B8-A6FF-D1A51F912BED}" uniqueName="2" name="CandID" queryTableFieldId="2" dataDxfId="79"/>
    <tableColumn id="3" xr3:uid="{3669FC5A-7DA8-4D44-A539-2377FBC66F63}" uniqueName="3" name="Cand_Name" queryTableFieldId="3" dataDxfId="78"/>
    <tableColumn id="4" xr3:uid="{4531C795-E4C9-4B5B-8EC0-071FDFDEEF36}" uniqueName="4" name="PostID" queryTableFieldId="4" dataDxfId="77"/>
    <tableColumn id="5" xr3:uid="{36EBBC75-B6F3-46A0-AE91-C072D6C9C800}" uniqueName="5" name="Position" queryTableFieldId="5" dataDxfId="76"/>
    <tableColumn id="1" xr3:uid="{B6597AE2-5369-487F-B690-C8A3E40AB362}" uniqueName="1" name="Appl_Date" queryTableFieldId="24" dataDxfId="75"/>
    <tableColumn id="7" xr3:uid="{C5EDB22F-FB42-4BEE-B497-A2739D2B11B8}" uniqueName="7" name="Source" queryTableFieldId="7" dataDxfId="74"/>
    <tableColumn id="6" xr3:uid="{2111F12D-9000-4D3C-B28D-5BC54212FE30}" uniqueName="6" name="Status" queryTableFieldId="25"/>
    <tableColumn id="8" xr3:uid="{F11164DA-4B57-4EC6-A45C-ABF7C6775D09}" uniqueName="8" name="Status_Date" queryTableFieldId="26" dataDxfId="73"/>
    <tableColumn id="9" xr3:uid="{EDF88358-1D3E-449F-B159-39A81FB908B1}" uniqueName="9" name="Result" queryTableFieldId="27" dataDxfId="72"/>
    <tableColumn id="10" xr3:uid="{2D2FF69B-755D-45F4-B61F-44B8A68BAA65}" uniqueName="10" name="Offer_Date" queryTableFieldId="32" dataDxfId="71"/>
    <tableColumn id="11" xr3:uid="{B0781D42-1CF6-410A-9D4F-192ACFCCCD56}" uniqueName="11" name="Offer_Stat" queryTableFieldId="33"/>
    <tableColumn id="14" xr3:uid="{BFBBFC4D-9491-4BD2-9710-16E5C2FDFD22}" uniqueName="14" name="KIV" queryTableFieldId="14" dataDxfId="70"/>
    <tableColumn id="19" xr3:uid="{F0CFA708-7DDF-4C9D-9D2B-D583531A4D59}" uniqueName="19" name="Aging" queryTableFieldId="19"/>
    <tableColumn id="17" xr3:uid="{33FA1C19-35BE-4230-A50F-6936C33E6AE5}" uniqueName="17" name="Remark" queryTableFieldId="17"/>
  </tableColumns>
  <tableStyleInfo name="Defaul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D6748-6218-484F-AA81-8F241E17B920}" name="tblPost" displayName="tblPost" ref="A1:N53" tableType="queryTable" totalsRowShown="0" headerRowDxfId="69" dataDxfId="68">
  <autoFilter ref="A1:N53" xr:uid="{6B2D6748-6218-484F-AA81-8F241E17B920}"/>
  <tableColumns count="14">
    <tableColumn id="1" xr3:uid="{F15376B3-1225-48CC-B10C-061B50B3095F}" uniqueName="1" name="No" queryTableFieldId="1" dataDxfId="67"/>
    <tableColumn id="2" xr3:uid="{201F86CE-D455-4869-89ED-5EA4591E22CC}" uniqueName="2" name="PostID" queryTableFieldId="2" dataDxfId="66"/>
    <tableColumn id="3" xr3:uid="{35DB40AD-B885-454E-A527-A79FB5361B98}" uniqueName="3" name="Position" queryTableFieldId="3" dataDxfId="65"/>
    <tableColumn id="4" xr3:uid="{556CBFE8-C0F9-4D1B-B1C1-5C0E32EA2AD4}" uniqueName="4" name="Section" queryTableFieldId="4" dataDxfId="64"/>
    <tableColumn id="5" xr3:uid="{3070F4FE-6E8B-439A-9B45-6CBA389BEB23}" uniqueName="5" name="Department" queryTableFieldId="5" dataDxfId="63"/>
    <tableColumn id="6" xr3:uid="{9CC6EE43-B156-4CCE-9900-DE3102C8D350}" uniqueName="6" name="Location" queryTableFieldId="6" dataDxfId="62"/>
    <tableColumn id="7" xr3:uid="{C4B8D974-45F5-4D4F-BBD2-B09CAA6CDF07}" uniqueName="7" name="BU" queryTableFieldId="7" dataDxfId="61"/>
    <tableColumn id="8" xr3:uid="{C948116A-3905-4A01-B46C-082E2C0E6E15}" uniqueName="8" name="Appr_Date" queryTableFieldId="8" dataDxfId="60"/>
    <tableColumn id="9" xr3:uid="{E5E02E73-E54C-4113-BF82-2066AF4F3A33}" uniqueName="9" name="Priority" queryTableFieldId="9" dataDxfId="59"/>
    <tableColumn id="10" xr3:uid="{6C9FE8C3-5623-4ED3-B4A7-ACFBABEA91B6}" uniqueName="10" name="Post_Status" queryTableFieldId="10" dataDxfId="58"/>
    <tableColumn id="11" xr3:uid="{F118BF6A-7DFC-4D1E-A0BF-6F1ED917E117}" uniqueName="11" name="Stat_Date" queryTableFieldId="11" dataDxfId="57"/>
    <tableColumn id="12" xr3:uid="{2953CDF8-48B7-4C09-960D-2679535452A1}" uniqueName="12" name="Aging" queryTableFieldId="12" dataDxfId="56"/>
    <tableColumn id="13" xr3:uid="{5D5BF42A-5256-4D56-893E-D980586033CF}" uniqueName="13" name="Num_App" queryTableFieldId="21" dataDxfId="55"/>
    <tableColumn id="15" xr3:uid="{33797367-A4D3-417E-9BB3-DE5A199B1DF4}" uniqueName="15" name="Remarks" queryTableFieldId="23" dataDxfId="54"/>
  </tableColumns>
  <tableStyleInfo name="Default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F34FA00-D2A0-40B9-94C7-B52BF37BF423}" name="tblCand" displayName="tblCand" ref="A1:Q620" tableType="queryTable" totalsRowShown="0">
  <autoFilter ref="A1:Q620" xr:uid="{BF34FA00-D2A0-40B9-94C7-B52BF37BF423}"/>
  <tableColumns count="17">
    <tableColumn id="1" xr3:uid="{49998617-D92E-41A2-9DBD-A8DB472D9485}" uniqueName="1" name="No" queryTableFieldId="1"/>
    <tableColumn id="2" xr3:uid="{E91A72C9-413C-4117-8115-7803C9B13D6C}" uniqueName="2" name="CandID" queryTableFieldId="2" dataDxfId="53"/>
    <tableColumn id="3" xr3:uid="{C01B9B56-EB7D-4DEF-B85E-8C93C0DFBA02}" uniqueName="3" name="Cand_Name" queryTableFieldId="3" dataDxfId="52"/>
    <tableColumn id="4" xr3:uid="{403BAA8C-F45C-46D4-9941-BECFEA4D52AE}" uniqueName="4" name="Sex" queryTableFieldId="4" dataDxfId="51"/>
    <tableColumn id="5" xr3:uid="{DBFA6E26-80D3-4686-8984-B88F1F413907}" uniqueName="5" name="Edu" queryTableFieldId="5" dataDxfId="50"/>
    <tableColumn id="6" xr3:uid="{7ABDE516-68D4-4DDB-AEC2-D12C48175436}" uniqueName="6" name="Cand_Post" queryTableFieldId="6" dataDxfId="49"/>
    <tableColumn id="7" xr3:uid="{151550B6-ED7A-4566-9A6A-AF9C2416E181}" uniqueName="7" name="Cand_Com" queryTableFieldId="7" dataDxfId="48"/>
    <tableColumn id="8" xr3:uid="{F2620D5C-6328-477B-B2CB-27399DF2EA0C}" uniqueName="8" name="Industry" queryTableFieldId="8" dataDxfId="47"/>
    <tableColumn id="9" xr3:uid="{1552BDBA-10BA-45E4-A872-56FD46AE9E08}" uniqueName="9" name="Contact" queryTableFieldId="9"/>
    <tableColumn id="10" xr3:uid="{5C39C44D-6F17-477F-A587-5B56F0B1D0AF}" uniqueName="10" name="Position" queryTableFieldId="10" dataDxfId="46"/>
    <tableColumn id="11" xr3:uid="{CC0DFAF7-0EBB-4313-B050-2F417F878623}" uniqueName="11" name="Appl_Date" queryTableFieldId="11" dataDxfId="45"/>
    <tableColumn id="12" xr3:uid="{ED18FC4F-7F45-41B1-A98E-4EE430145C0E}" uniqueName="12" name="Source" queryTableFieldId="12" dataDxfId="44"/>
    <tableColumn id="13" xr3:uid="{96B3E1B8-B07B-4D62-883C-41F9C9E89D40}" uniqueName="13" name="Status" queryTableFieldId="13"/>
    <tableColumn id="14" xr3:uid="{1E199734-C041-4EC3-BE5C-E5378D4446BD}" uniqueName="14" name="Status_Date" queryTableFieldId="14" dataDxfId="43"/>
    <tableColumn id="15" xr3:uid="{BA199F42-CA28-4261-B176-FE7622561B45}" uniqueName="15" name="Result" queryTableFieldId="15" dataDxfId="42"/>
    <tableColumn id="16" xr3:uid="{C679DCD5-2931-4051-A078-E0E81093976D}" uniqueName="16" name="Aging" queryTableFieldId="16"/>
    <tableColumn id="17" xr3:uid="{4030C69D-643C-440B-B3CC-046EC4088A04}" uniqueName="17" name="Remark" queryTableFieldId="17"/>
  </tableColumns>
  <tableStyleInfo name="Default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02A982-D4EE-467A-82EC-6DA1CD2DA4A7}" name="Posts" displayName="Posts" ref="A1:K53" totalsRowShown="0" headerRowDxfId="41" dataDxfId="40">
  <autoFilter ref="A1:K53" xr:uid="{DE02A982-D4EE-467A-82EC-6DA1CD2DA4A7}"/>
  <tableColumns count="11">
    <tableColumn id="1" xr3:uid="{FAA52D7E-54C2-4E7B-931E-1A32597C363B}" name="PostID" dataDxfId="39"/>
    <tableColumn id="2" xr3:uid="{D2053F8C-DFF6-412D-8352-E11F82167EC1}" name="Position" dataDxfId="38"/>
    <tableColumn id="3" xr3:uid="{44154723-291F-4B5F-ACA8-55AAA4DBCCAE}" name="Section" dataDxfId="37"/>
    <tableColumn id="4" xr3:uid="{163925CB-CC78-4F73-BBF4-1E8E56FF5071}" name="Department" dataDxfId="36"/>
    <tableColumn id="5" xr3:uid="{F81E2220-2406-48E9-9D4B-C2CD4B672EE1}" name="Location" dataDxfId="35"/>
    <tableColumn id="6" xr3:uid="{63BDA015-00F5-4EED-912D-C38AC0965749}" name="BU" dataDxfId="34"/>
    <tableColumn id="7" xr3:uid="{A9CE3610-2954-483B-8288-BD12973F5040}" name="Appr_Date" dataDxfId="33"/>
    <tableColumn id="8" xr3:uid="{D9964517-05A8-4678-9DDA-BDDCC7849F27}" name="Priority" dataDxfId="32"/>
    <tableColumn id="9" xr3:uid="{7551B71C-12E6-413A-9A75-437F95200139}" name="Post_Status" dataDxfId="31"/>
    <tableColumn id="10" xr3:uid="{6388DA7E-22D7-4519-ABA9-B07D0C210BA4}" name="Stat_Date" dataDxfId="30"/>
    <tableColumn id="11" xr3:uid="{518A6C09-3B1A-4D58-8C53-B764D8D130CB}" name="Remarks" dataDxfId="29"/>
  </tableColumns>
  <tableStyleInfo name="Default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692692E-D10D-4CC7-AF60-62522306E068}" name="Cands" displayName="Cands" ref="A1:I620" totalsRowShown="0" headerRowDxfId="28" dataDxfId="27">
  <autoFilter ref="A1:I620" xr:uid="{9692692E-D10D-4CC7-AF60-62522306E068}"/>
  <tableColumns count="9">
    <tableColumn id="9" xr3:uid="{88B3F102-ED12-4C47-81BA-EBEB7134877F}" name="No" dataDxfId="26"/>
    <tableColumn id="1" xr3:uid="{7119E318-084D-4160-BE3D-F7480C394D16}" name="CandID" dataDxfId="25"/>
    <tableColumn id="2" xr3:uid="{E1AFF3EC-FE68-4F0B-A8C8-9D041C378388}" name="Cand_Name" dataDxfId="24"/>
    <tableColumn id="3" xr3:uid="{CAB2201C-7D75-45C3-B2D8-991E2BCAE2BA}" name="Sex" dataDxfId="23"/>
    <tableColumn id="4" xr3:uid="{4A1411DE-7EDB-442C-AF36-706816DF8DA0}" name="Edu" dataDxfId="22"/>
    <tableColumn id="5" xr3:uid="{5B67CC36-AB4D-4844-8067-E77F946648FC}" name="Cand_Post" dataDxfId="21"/>
    <tableColumn id="6" xr3:uid="{25BEDB81-3967-47E9-A78C-9E4FE31D20DC}" name="Cand_Com" dataDxfId="20"/>
    <tableColumn id="7" xr3:uid="{621CC2AF-E7C9-4788-9E45-4C5D2A83E075}" name="Industry" dataDxfId="19"/>
    <tableColumn id="8" xr3:uid="{00387970-14AD-47C7-A99B-F2DD18E4DF22}" name="Contact" dataDxfId="18"/>
  </tableColumns>
  <tableStyleInfo name="Default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A42642A-8ADC-4422-9169-2919DB1FE2A5}" name="Apps" displayName="Apps" ref="A1:Q620" totalsRowShown="0" headerRowDxfId="17">
  <autoFilter ref="A1:Q620" xr:uid="{BA42642A-8ADC-4422-9169-2919DB1FE2A5}"/>
  <tableColumns count="17">
    <tableColumn id="1" xr3:uid="{D57C1F75-8D34-4B0C-BD7F-F3A1AAAE64A0}" name="AppID" dataDxfId="16"/>
    <tableColumn id="2" xr3:uid="{763E04AD-925B-40DA-B3AE-B03BA9D8ED20}" name="CandID" dataDxfId="15"/>
    <tableColumn id="3" xr3:uid="{0021BF5D-A17B-458F-B13B-D27E15C27545}" name="Cand_Name" dataDxfId="14">
      <calculatedColumnFormula>VLOOKUP(Apps[[#This Row],[CandID]],Cands[[CandID]:[Cand_Name]],2,0)</calculatedColumnFormula>
    </tableColumn>
    <tableColumn id="4" xr3:uid="{AFEA2C91-EB47-4376-AB23-0AC527C83D94}" name="PostID" dataDxfId="13"/>
    <tableColumn id="5" xr3:uid="{7830DB43-C73B-42EC-95F7-FBD75D3A9DD2}" name="Position" dataDxfId="12">
      <calculatedColumnFormula>_xlfn.IFNA(VLOOKUP(Apps[[#This Row],[PostID]],Posts[[PostID]:[Position]],2,0),"")</calculatedColumnFormula>
    </tableColumn>
    <tableColumn id="6" xr3:uid="{8B4A2992-EC64-47BA-A0AC-C51A1887AA7F}" name="Appl_Date" dataDxfId="11"/>
    <tableColumn id="7" xr3:uid="{40C0AF6C-F5DE-42C1-8F6D-043F74F3B3DC}" name="Source" dataDxfId="10"/>
    <tableColumn id="8" xr3:uid="{9622C58E-A41F-447B-B27B-4F344A19BA08}" name="ShortListed" dataDxfId="9"/>
    <tableColumn id="9" xr3:uid="{DB6A2D2A-BDD4-47C8-B403-D2EA799EA56E}" name="1_Interv" dataDxfId="8"/>
    <tableColumn id="10" xr3:uid="{F67E7C82-7C9D-48BF-883D-85CB1563D8C2}" name="2_Interv" dataDxfId="7"/>
    <tableColumn id="11" xr3:uid="{BE838231-7EFB-413E-9A77-C7894E75636A}" name="Result" dataDxfId="6"/>
    <tableColumn id="12" xr3:uid="{9BAE419D-6130-42D0-BBED-7C8D0D69C4BF}" name="Offer_Date" dataDxfId="5"/>
    <tableColumn id="13" xr3:uid="{6540A138-06C9-473E-8BD4-DB66440DCE01}" name="Offer_Stat" dataDxfId="4"/>
    <tableColumn id="14" xr3:uid="{6E4A6D13-C81B-49A9-8F55-706F07C4B071}" name="KIV" dataDxfId="3"/>
    <tableColumn id="15" xr3:uid="{76334542-237B-4C97-9832-090A8872B3B5}" name="Curr_Salary" dataDxfId="2" dataCellStyle="Currency"/>
    <tableColumn id="16" xr3:uid="{4514954B-1E8D-47A6-A4BA-79A1749AC1E0}" name="Exp_Salary" dataDxfId="1" dataCellStyle="Currency"/>
    <tableColumn id="17" xr3:uid="{C7C7675C-5DE4-4792-94C8-95C7D92E8398}" name="Remark" dataDxfId="0"/>
  </tableColumns>
  <tableStyleInfo name="Defa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5A6BF-4B59-40EA-938F-C790D453BADD}">
  <sheetPr codeName="shApp"/>
  <dimension ref="A1:T620"/>
  <sheetViews>
    <sheetView topLeftCell="A40" zoomScale="80" zoomScaleNormal="80" workbookViewId="0">
      <selection activeCell="J52" sqref="J52"/>
    </sheetView>
  </sheetViews>
  <sheetFormatPr defaultRowHeight="14" x14ac:dyDescent="0.3"/>
  <cols>
    <col min="1" max="1" width="5.796875" bestFit="1" customWidth="1"/>
    <col min="2" max="2" width="9.69921875" bestFit="1" customWidth="1"/>
    <col min="3" max="3" width="24.09765625" bestFit="1" customWidth="1"/>
    <col min="4" max="4" width="9.09765625" bestFit="1" customWidth="1"/>
    <col min="5" max="5" width="29.09765625" bestFit="1" customWidth="1"/>
    <col min="6" max="6" width="12.296875" bestFit="1" customWidth="1"/>
    <col min="7" max="7" width="9.69921875" bestFit="1" customWidth="1"/>
    <col min="8" max="8" width="9.3984375" bestFit="1" customWidth="1"/>
    <col min="9" max="9" width="13.796875" bestFit="1" customWidth="1"/>
    <col min="10" max="10" width="8.8984375" bestFit="1" customWidth="1"/>
    <col min="11" max="11" width="12.59765625" bestFit="1" customWidth="1"/>
    <col min="12" max="12" width="12.09765625" bestFit="1" customWidth="1"/>
    <col min="13" max="13" width="6.3984375" bestFit="1" customWidth="1"/>
    <col min="14" max="14" width="8.5" bestFit="1" customWidth="1"/>
    <col min="15" max="15" width="10" customWidth="1"/>
    <col min="16" max="16" width="6.3984375" bestFit="1" customWidth="1"/>
    <col min="17" max="17" width="8.5" bestFit="1" customWidth="1"/>
  </cols>
  <sheetData>
    <row r="1" spans="1:20" s="41" customFormat="1" x14ac:dyDescent="0.3">
      <c r="A1" s="23" t="s">
        <v>3475</v>
      </c>
      <c r="B1" s="23" t="s">
        <v>3487</v>
      </c>
      <c r="C1" s="23" t="s">
        <v>3497</v>
      </c>
      <c r="D1" s="41" t="s">
        <v>3478</v>
      </c>
      <c r="E1" s="23" t="s">
        <v>3479</v>
      </c>
      <c r="F1" s="23" t="s">
        <v>3526</v>
      </c>
      <c r="G1" s="23" t="s">
        <v>3498</v>
      </c>
      <c r="H1" s="23" t="s">
        <v>3528</v>
      </c>
      <c r="I1" s="23" t="s">
        <v>3529</v>
      </c>
      <c r="J1" s="23" t="s">
        <v>3527</v>
      </c>
      <c r="K1" s="23" t="s">
        <v>3502</v>
      </c>
      <c r="L1" s="23" t="s">
        <v>3503</v>
      </c>
      <c r="M1" s="23" t="s">
        <v>3504</v>
      </c>
      <c r="N1" s="23" t="s">
        <v>3508</v>
      </c>
      <c r="O1" s="23" t="s">
        <v>3506</v>
      </c>
    </row>
    <row r="2" spans="1:20" x14ac:dyDescent="0.3">
      <c r="A2">
        <v>1</v>
      </c>
      <c r="B2" s="14" t="s">
        <v>2468</v>
      </c>
      <c r="C2" s="14" t="s">
        <v>277</v>
      </c>
      <c r="D2" s="14"/>
      <c r="E2" s="14" t="s">
        <v>3525</v>
      </c>
      <c r="F2" s="15">
        <v>45324</v>
      </c>
      <c r="G2" s="14" t="s">
        <v>2848</v>
      </c>
      <c r="H2" t="s">
        <v>3501</v>
      </c>
      <c r="I2" s="15">
        <v>45337</v>
      </c>
      <c r="J2" s="14" t="s">
        <v>2852</v>
      </c>
      <c r="K2" s="15"/>
      <c r="M2" s="14"/>
      <c r="N2">
        <v>13</v>
      </c>
    </row>
    <row r="3" spans="1:20" x14ac:dyDescent="0.3">
      <c r="A3">
        <v>2</v>
      </c>
      <c r="B3" s="14" t="s">
        <v>2489</v>
      </c>
      <c r="C3" s="14" t="s">
        <v>297</v>
      </c>
      <c r="D3" s="14"/>
      <c r="E3" s="14" t="s">
        <v>3525</v>
      </c>
      <c r="F3" s="15">
        <v>45345</v>
      </c>
      <c r="G3" s="14" t="s">
        <v>2846</v>
      </c>
      <c r="H3" t="s">
        <v>3501</v>
      </c>
      <c r="I3" s="15">
        <v>45358</v>
      </c>
      <c r="J3" s="14" t="s">
        <v>2852</v>
      </c>
      <c r="K3" s="15"/>
      <c r="M3" s="14"/>
      <c r="N3">
        <v>13</v>
      </c>
    </row>
    <row r="4" spans="1:20" x14ac:dyDescent="0.3">
      <c r="A4">
        <v>3</v>
      </c>
      <c r="B4" s="14" t="s">
        <v>2479</v>
      </c>
      <c r="C4" s="14" t="s">
        <v>287</v>
      </c>
      <c r="D4" s="14"/>
      <c r="E4" s="14" t="s">
        <v>3525</v>
      </c>
      <c r="F4" s="15">
        <v>45342</v>
      </c>
      <c r="G4" s="14" t="s">
        <v>2848</v>
      </c>
      <c r="H4" t="s">
        <v>3501</v>
      </c>
      <c r="I4" s="15">
        <v>45346</v>
      </c>
      <c r="J4" s="14"/>
      <c r="K4" s="15"/>
      <c r="M4" s="14"/>
      <c r="N4">
        <v>109</v>
      </c>
    </row>
    <row r="5" spans="1:20" x14ac:dyDescent="0.3">
      <c r="A5">
        <v>4</v>
      </c>
      <c r="B5" s="14" t="s">
        <v>2472</v>
      </c>
      <c r="C5" s="14" t="s">
        <v>281</v>
      </c>
      <c r="D5" s="14"/>
      <c r="E5" s="14" t="s">
        <v>3525</v>
      </c>
      <c r="F5" s="15">
        <v>45338</v>
      </c>
      <c r="G5" s="14" t="s">
        <v>2848</v>
      </c>
      <c r="H5" t="s">
        <v>3501</v>
      </c>
      <c r="I5" s="15">
        <v>45346</v>
      </c>
      <c r="J5" s="14"/>
      <c r="K5" s="15"/>
      <c r="M5" s="14"/>
      <c r="N5">
        <v>113</v>
      </c>
    </row>
    <row r="6" spans="1:20" x14ac:dyDescent="0.3">
      <c r="A6">
        <v>5</v>
      </c>
      <c r="B6" s="14" t="s">
        <v>2487</v>
      </c>
      <c r="C6" s="14" t="s">
        <v>295</v>
      </c>
      <c r="D6" s="14"/>
      <c r="E6" s="14" t="s">
        <v>3525</v>
      </c>
      <c r="F6" s="15">
        <v>45344</v>
      </c>
      <c r="G6" s="14" t="s">
        <v>2845</v>
      </c>
      <c r="H6" t="s">
        <v>3500</v>
      </c>
      <c r="I6" s="15">
        <v>45345</v>
      </c>
      <c r="J6" s="14"/>
      <c r="K6" s="15"/>
      <c r="M6" s="14"/>
      <c r="N6">
        <v>107</v>
      </c>
      <c r="R6" t="str">
        <f>_xlfn.TEXTJOIN(",",1,tblApp[#Headers])</f>
        <v>No,CandID,Cand_Name,PostID,Position,Appl_Date,Source,Status,Status_Date,Result,Offer_Date,Offer_Stat,KIV,Aging,Remark</v>
      </c>
    </row>
    <row r="7" spans="1:20" x14ac:dyDescent="0.3">
      <c r="A7">
        <v>6</v>
      </c>
      <c r="B7" s="14" t="s">
        <v>2478</v>
      </c>
      <c r="C7" s="14" t="s">
        <v>286</v>
      </c>
      <c r="D7" s="14"/>
      <c r="E7" s="14" t="s">
        <v>3525</v>
      </c>
      <c r="F7" s="15">
        <v>45342</v>
      </c>
      <c r="G7" s="14" t="s">
        <v>2848</v>
      </c>
      <c r="H7" t="s">
        <v>3500</v>
      </c>
      <c r="I7" s="15">
        <v>45346</v>
      </c>
      <c r="J7" s="14"/>
      <c r="K7" s="15"/>
      <c r="M7" s="14"/>
      <c r="N7">
        <v>109</v>
      </c>
    </row>
    <row r="8" spans="1:20" x14ac:dyDescent="0.3">
      <c r="A8">
        <v>7</v>
      </c>
      <c r="B8" s="14" t="s">
        <v>2465</v>
      </c>
      <c r="C8" s="14" t="s">
        <v>274</v>
      </c>
      <c r="D8" s="14"/>
      <c r="E8" s="14" t="s">
        <v>3525</v>
      </c>
      <c r="F8" s="15">
        <v>45324</v>
      </c>
      <c r="G8" s="14" t="s">
        <v>2848</v>
      </c>
      <c r="H8" t="s">
        <v>3500</v>
      </c>
      <c r="I8" s="15">
        <v>45330</v>
      </c>
      <c r="J8" s="14"/>
      <c r="K8" s="15"/>
      <c r="M8" s="14"/>
      <c r="N8">
        <v>127</v>
      </c>
      <c r="R8" t="s">
        <v>3548</v>
      </c>
    </row>
    <row r="9" spans="1:20" x14ac:dyDescent="0.3">
      <c r="A9">
        <v>8</v>
      </c>
      <c r="B9" s="14" t="s">
        <v>2464</v>
      </c>
      <c r="C9" s="14" t="s">
        <v>273</v>
      </c>
      <c r="D9" s="14"/>
      <c r="E9" s="14" t="s">
        <v>3525</v>
      </c>
      <c r="F9" s="15">
        <v>45324</v>
      </c>
      <c r="G9" s="14" t="s">
        <v>2848</v>
      </c>
      <c r="H9" t="s">
        <v>3500</v>
      </c>
      <c r="I9" s="15">
        <v>45330</v>
      </c>
      <c r="J9" s="14"/>
      <c r="K9" s="15"/>
      <c r="M9" s="14"/>
      <c r="N9">
        <v>127</v>
      </c>
    </row>
    <row r="10" spans="1:20" x14ac:dyDescent="0.3">
      <c r="A10">
        <v>9</v>
      </c>
      <c r="B10" s="14" t="s">
        <v>2463</v>
      </c>
      <c r="C10" s="14" t="s">
        <v>272</v>
      </c>
      <c r="D10" s="14"/>
      <c r="E10" s="14" t="s">
        <v>3525</v>
      </c>
      <c r="F10" s="15">
        <v>45324</v>
      </c>
      <c r="G10" s="14" t="s">
        <v>2848</v>
      </c>
      <c r="H10" t="s">
        <v>3500</v>
      </c>
      <c r="I10" s="15">
        <v>45330</v>
      </c>
      <c r="J10" s="14"/>
      <c r="K10" s="15"/>
      <c r="M10" s="14"/>
      <c r="N10">
        <v>127</v>
      </c>
    </row>
    <row r="11" spans="1:20" x14ac:dyDescent="0.3">
      <c r="A11">
        <v>10</v>
      </c>
      <c r="B11" s="14" t="s">
        <v>2425</v>
      </c>
      <c r="C11" s="14" t="s">
        <v>251</v>
      </c>
      <c r="D11" s="14"/>
      <c r="E11" s="14" t="s">
        <v>3525</v>
      </c>
      <c r="F11" s="15">
        <v>45310</v>
      </c>
      <c r="G11" s="14" t="s">
        <v>2845</v>
      </c>
      <c r="H11" t="s">
        <v>3500</v>
      </c>
      <c r="I11" s="15">
        <v>45310</v>
      </c>
      <c r="J11" s="14"/>
      <c r="K11" s="15"/>
      <c r="M11" s="14"/>
      <c r="N11">
        <v>141</v>
      </c>
    </row>
    <row r="12" spans="1:20" x14ac:dyDescent="0.3">
      <c r="A12">
        <v>11</v>
      </c>
      <c r="B12" s="14" t="s">
        <v>2373</v>
      </c>
      <c r="C12" s="14" t="s">
        <v>228</v>
      </c>
      <c r="D12" s="14"/>
      <c r="E12" s="14" t="s">
        <v>3525</v>
      </c>
      <c r="F12" s="15">
        <v>45296</v>
      </c>
      <c r="G12" s="14" t="s">
        <v>2848</v>
      </c>
      <c r="H12" t="s">
        <v>3500</v>
      </c>
      <c r="I12" s="15">
        <v>45308</v>
      </c>
      <c r="J12" s="14"/>
      <c r="K12" s="15"/>
      <c r="M12" s="14"/>
      <c r="N12">
        <v>155</v>
      </c>
    </row>
    <row r="13" spans="1:20" x14ac:dyDescent="0.3">
      <c r="A13">
        <v>12</v>
      </c>
      <c r="B13" s="14" t="s">
        <v>2342</v>
      </c>
      <c r="C13" s="14" t="s">
        <v>211</v>
      </c>
      <c r="D13" s="14"/>
      <c r="E13" s="14" t="s">
        <v>3525</v>
      </c>
      <c r="F13" s="15">
        <v>45292</v>
      </c>
      <c r="G13" s="14" t="s">
        <v>2846</v>
      </c>
      <c r="H13" t="s">
        <v>3500</v>
      </c>
      <c r="I13" s="15">
        <v>45306</v>
      </c>
      <c r="J13" s="14"/>
      <c r="K13" s="15"/>
      <c r="M13" s="14"/>
      <c r="N13">
        <v>159</v>
      </c>
    </row>
    <row r="14" spans="1:20" x14ac:dyDescent="0.3">
      <c r="A14">
        <v>13</v>
      </c>
      <c r="B14" s="14" t="s">
        <v>2349</v>
      </c>
      <c r="C14" s="14" t="s">
        <v>218</v>
      </c>
      <c r="D14" s="14"/>
      <c r="E14" s="14" t="s">
        <v>3525</v>
      </c>
      <c r="F14" s="15">
        <v>45292</v>
      </c>
      <c r="G14" s="14" t="s">
        <v>2848</v>
      </c>
      <c r="H14" t="s">
        <v>3500</v>
      </c>
      <c r="I14" s="15">
        <v>45293</v>
      </c>
      <c r="J14" s="14"/>
      <c r="K14" s="15"/>
      <c r="M14" s="14"/>
      <c r="N14">
        <v>159</v>
      </c>
    </row>
    <row r="15" spans="1:20" x14ac:dyDescent="0.3">
      <c r="A15">
        <v>14</v>
      </c>
      <c r="B15" s="14" t="s">
        <v>2728</v>
      </c>
      <c r="C15" s="14" t="s">
        <v>489</v>
      </c>
      <c r="D15" s="14"/>
      <c r="E15" s="14" t="s">
        <v>3525</v>
      </c>
      <c r="F15" s="15">
        <v>45404</v>
      </c>
      <c r="G15" s="14" t="s">
        <v>2847</v>
      </c>
      <c r="H15" t="s">
        <v>3523</v>
      </c>
      <c r="I15" s="15"/>
      <c r="J15" s="14"/>
      <c r="K15" s="15"/>
      <c r="M15" s="14"/>
      <c r="N15">
        <v>47</v>
      </c>
    </row>
    <row r="16" spans="1:20" x14ac:dyDescent="0.3">
      <c r="A16">
        <v>15</v>
      </c>
      <c r="B16" s="14" t="s">
        <v>2602</v>
      </c>
      <c r="C16" s="14" t="s">
        <v>377</v>
      </c>
      <c r="D16" s="14"/>
      <c r="E16" s="14" t="s">
        <v>3525</v>
      </c>
      <c r="F16" s="15">
        <v>45377</v>
      </c>
      <c r="G16" s="14" t="s">
        <v>2848</v>
      </c>
      <c r="H16" t="s">
        <v>3523</v>
      </c>
      <c r="I16" s="15"/>
      <c r="J16" s="14"/>
      <c r="K16" s="15"/>
      <c r="M16" s="14"/>
      <c r="N16">
        <v>74</v>
      </c>
      <c r="R16">
        <v>60</v>
      </c>
      <c r="T16" t="str">
        <f>_xlfn.TEXTJOIN(";",1,R16:R29)</f>
        <v>60;60;60;60;60;60;60;60;60;60;60;60;60;60</v>
      </c>
    </row>
    <row r="17" spans="1:20" x14ac:dyDescent="0.3">
      <c r="A17">
        <v>16</v>
      </c>
      <c r="B17" s="14" t="s">
        <v>2534</v>
      </c>
      <c r="C17" s="14" t="s">
        <v>329</v>
      </c>
      <c r="D17" s="14"/>
      <c r="E17" s="14" t="s">
        <v>3525</v>
      </c>
      <c r="F17" s="15">
        <v>45359</v>
      </c>
      <c r="G17" s="14" t="s">
        <v>2848</v>
      </c>
      <c r="H17" t="s">
        <v>3523</v>
      </c>
      <c r="I17" s="15"/>
      <c r="J17" s="14"/>
      <c r="K17" s="15"/>
      <c r="M17" s="14"/>
      <c r="N17">
        <v>92</v>
      </c>
      <c r="R17">
        <v>60</v>
      </c>
    </row>
    <row r="18" spans="1:20" x14ac:dyDescent="0.3">
      <c r="A18">
        <v>17</v>
      </c>
      <c r="B18" s="14" t="s">
        <v>2531</v>
      </c>
      <c r="C18" s="14" t="s">
        <v>326</v>
      </c>
      <c r="D18" s="14"/>
      <c r="E18" s="14" t="s">
        <v>3525</v>
      </c>
      <c r="F18" s="15">
        <v>45357</v>
      </c>
      <c r="G18" s="14" t="s">
        <v>2846</v>
      </c>
      <c r="H18" t="s">
        <v>3523</v>
      </c>
      <c r="I18" s="15"/>
      <c r="J18" s="14"/>
      <c r="K18" s="15"/>
      <c r="M18" s="14"/>
      <c r="N18">
        <v>94</v>
      </c>
      <c r="R18">
        <v>60</v>
      </c>
    </row>
    <row r="19" spans="1:20" x14ac:dyDescent="0.3">
      <c r="A19">
        <v>18</v>
      </c>
      <c r="B19" s="14" t="s">
        <v>2460</v>
      </c>
      <c r="C19" s="14" t="s">
        <v>269</v>
      </c>
      <c r="D19" s="14"/>
      <c r="E19" s="14" t="s">
        <v>3525</v>
      </c>
      <c r="F19" s="15">
        <v>45323</v>
      </c>
      <c r="G19" s="14" t="s">
        <v>2846</v>
      </c>
      <c r="H19" t="s">
        <v>3523</v>
      </c>
      <c r="I19" s="15"/>
      <c r="J19" s="14"/>
      <c r="K19" s="15"/>
      <c r="M19" s="14"/>
      <c r="N19">
        <v>128</v>
      </c>
      <c r="R19">
        <v>60</v>
      </c>
      <c r="T19" t="s">
        <v>3549</v>
      </c>
    </row>
    <row r="20" spans="1:20" x14ac:dyDescent="0.3">
      <c r="A20">
        <v>19</v>
      </c>
      <c r="B20" s="14" t="s">
        <v>2458</v>
      </c>
      <c r="C20" s="14" t="s">
        <v>267</v>
      </c>
      <c r="D20" s="14"/>
      <c r="E20" s="14" t="s">
        <v>3525</v>
      </c>
      <c r="F20" s="15">
        <v>45323</v>
      </c>
      <c r="G20" s="14" t="s">
        <v>2846</v>
      </c>
      <c r="H20" t="s">
        <v>3523</v>
      </c>
      <c r="I20" s="15"/>
      <c r="J20" s="14"/>
      <c r="K20" s="15"/>
      <c r="M20" s="14"/>
      <c r="N20">
        <v>128</v>
      </c>
      <c r="R20">
        <v>60</v>
      </c>
    </row>
    <row r="21" spans="1:20" x14ac:dyDescent="0.3">
      <c r="A21">
        <v>20</v>
      </c>
      <c r="B21" s="14" t="s">
        <v>2459</v>
      </c>
      <c r="C21" s="14" t="s">
        <v>268</v>
      </c>
      <c r="D21" s="14"/>
      <c r="E21" s="14" t="s">
        <v>3525</v>
      </c>
      <c r="F21" s="15">
        <v>45323</v>
      </c>
      <c r="G21" s="14" t="s">
        <v>2846</v>
      </c>
      <c r="H21" t="s">
        <v>3523</v>
      </c>
      <c r="I21" s="15"/>
      <c r="J21" s="14"/>
      <c r="K21" s="15"/>
      <c r="M21" s="14"/>
      <c r="N21">
        <v>128</v>
      </c>
      <c r="R21">
        <v>60</v>
      </c>
    </row>
    <row r="22" spans="1:20" x14ac:dyDescent="0.3">
      <c r="A22">
        <v>21</v>
      </c>
      <c r="B22" s="14" t="s">
        <v>2457</v>
      </c>
      <c r="C22" s="14" t="s">
        <v>266</v>
      </c>
      <c r="D22" s="14"/>
      <c r="E22" s="14" t="s">
        <v>3525</v>
      </c>
      <c r="F22" s="15">
        <v>45323</v>
      </c>
      <c r="G22" s="14" t="s">
        <v>2846</v>
      </c>
      <c r="H22" t="s">
        <v>3523</v>
      </c>
      <c r="I22" s="15"/>
      <c r="J22" s="14"/>
      <c r="K22" s="15"/>
      <c r="M22" s="14"/>
      <c r="N22">
        <v>128</v>
      </c>
      <c r="R22">
        <v>60</v>
      </c>
    </row>
    <row r="23" spans="1:20" x14ac:dyDescent="0.3">
      <c r="A23">
        <v>22</v>
      </c>
      <c r="B23" s="14" t="s">
        <v>2437</v>
      </c>
      <c r="C23" s="14" t="s">
        <v>2173</v>
      </c>
      <c r="D23" s="14"/>
      <c r="E23" s="14" t="s">
        <v>3525</v>
      </c>
      <c r="F23" s="15">
        <v>45316</v>
      </c>
      <c r="G23" s="14" t="s">
        <v>2847</v>
      </c>
      <c r="H23" t="s">
        <v>3523</v>
      </c>
      <c r="I23" s="15"/>
      <c r="J23" s="14"/>
      <c r="K23" s="15"/>
      <c r="M23" s="14"/>
      <c r="N23">
        <v>135</v>
      </c>
      <c r="R23">
        <v>60</v>
      </c>
    </row>
    <row r="24" spans="1:20" x14ac:dyDescent="0.3">
      <c r="A24">
        <v>23</v>
      </c>
      <c r="B24" s="14" t="s">
        <v>2434</v>
      </c>
      <c r="C24" s="14" t="s">
        <v>2170</v>
      </c>
      <c r="D24" s="14"/>
      <c r="E24" s="14" t="s">
        <v>3525</v>
      </c>
      <c r="F24" s="15">
        <v>45314</v>
      </c>
      <c r="G24" s="14" t="s">
        <v>2847</v>
      </c>
      <c r="H24" t="s">
        <v>3523</v>
      </c>
      <c r="I24" s="15"/>
      <c r="J24" s="14"/>
      <c r="K24" s="15"/>
      <c r="M24" s="14"/>
      <c r="N24">
        <v>137</v>
      </c>
      <c r="R24">
        <v>60</v>
      </c>
    </row>
    <row r="25" spans="1:20" x14ac:dyDescent="0.3">
      <c r="A25">
        <v>24</v>
      </c>
      <c r="B25" s="14" t="s">
        <v>2430</v>
      </c>
      <c r="C25" s="14" t="s">
        <v>2168</v>
      </c>
      <c r="D25" s="14"/>
      <c r="E25" s="14" t="s">
        <v>3525</v>
      </c>
      <c r="F25" s="15">
        <v>45313</v>
      </c>
      <c r="G25" s="14" t="s">
        <v>2847</v>
      </c>
      <c r="H25" t="s">
        <v>3523</v>
      </c>
      <c r="I25" s="15"/>
      <c r="J25" s="14"/>
      <c r="K25" s="15"/>
      <c r="M25" s="14"/>
      <c r="N25">
        <v>138</v>
      </c>
      <c r="R25">
        <v>60</v>
      </c>
    </row>
    <row r="26" spans="1:20" x14ac:dyDescent="0.3">
      <c r="A26">
        <v>25</v>
      </c>
      <c r="B26" s="14" t="s">
        <v>2416</v>
      </c>
      <c r="C26" s="14" t="s">
        <v>2157</v>
      </c>
      <c r="D26" s="14"/>
      <c r="E26" s="14" t="s">
        <v>3525</v>
      </c>
      <c r="F26" s="15">
        <v>45307</v>
      </c>
      <c r="G26" s="14" t="s">
        <v>2847</v>
      </c>
      <c r="H26" t="s">
        <v>3523</v>
      </c>
      <c r="I26" s="15"/>
      <c r="J26" s="14"/>
      <c r="K26" s="15"/>
      <c r="M26" s="14"/>
      <c r="N26">
        <v>144</v>
      </c>
      <c r="R26">
        <v>60</v>
      </c>
    </row>
    <row r="27" spans="1:20" x14ac:dyDescent="0.3">
      <c r="A27">
        <v>26</v>
      </c>
      <c r="B27" s="14" t="s">
        <v>2401</v>
      </c>
      <c r="C27" s="14" t="s">
        <v>2150</v>
      </c>
      <c r="D27" s="14"/>
      <c r="E27" s="14" t="s">
        <v>3525</v>
      </c>
      <c r="F27" s="15">
        <v>45302</v>
      </c>
      <c r="G27" s="14" t="s">
        <v>2847</v>
      </c>
      <c r="H27" t="s">
        <v>3523</v>
      </c>
      <c r="I27" s="15"/>
      <c r="J27" s="14"/>
      <c r="K27" s="15"/>
      <c r="M27" s="14"/>
      <c r="N27">
        <v>149</v>
      </c>
      <c r="R27">
        <v>60</v>
      </c>
    </row>
    <row r="28" spans="1:20" x14ac:dyDescent="0.3">
      <c r="A28">
        <v>27</v>
      </c>
      <c r="B28" s="14" t="s">
        <v>2403</v>
      </c>
      <c r="C28" s="14" t="s">
        <v>2151</v>
      </c>
      <c r="D28" s="14"/>
      <c r="E28" s="14" t="s">
        <v>3525</v>
      </c>
      <c r="F28" s="15">
        <v>45302</v>
      </c>
      <c r="G28" s="14" t="s">
        <v>2847</v>
      </c>
      <c r="H28" t="s">
        <v>3523</v>
      </c>
      <c r="I28" s="15"/>
      <c r="J28" s="14"/>
      <c r="K28" s="15"/>
      <c r="M28" s="14"/>
      <c r="N28">
        <v>149</v>
      </c>
      <c r="R28">
        <v>60</v>
      </c>
    </row>
    <row r="29" spans="1:20" x14ac:dyDescent="0.3">
      <c r="A29">
        <v>28</v>
      </c>
      <c r="B29" s="14" t="s">
        <v>2386</v>
      </c>
      <c r="C29" s="14" t="s">
        <v>2140</v>
      </c>
      <c r="D29" s="14"/>
      <c r="E29" s="14" t="s">
        <v>3525</v>
      </c>
      <c r="F29" s="15">
        <v>45298</v>
      </c>
      <c r="G29" s="14" t="s">
        <v>2847</v>
      </c>
      <c r="H29" t="s">
        <v>3523</v>
      </c>
      <c r="I29" s="15"/>
      <c r="J29" s="14"/>
      <c r="K29" s="15"/>
      <c r="M29" s="14"/>
      <c r="N29">
        <v>153</v>
      </c>
      <c r="R29">
        <v>60</v>
      </c>
    </row>
    <row r="30" spans="1:20" x14ac:dyDescent="0.3">
      <c r="A30">
        <v>29</v>
      </c>
      <c r="B30" s="14" t="s">
        <v>2375</v>
      </c>
      <c r="C30" s="14" t="s">
        <v>2136</v>
      </c>
      <c r="D30" s="14"/>
      <c r="E30" s="14" t="s">
        <v>3525</v>
      </c>
      <c r="F30" s="15">
        <v>45296</v>
      </c>
      <c r="G30" s="14" t="s">
        <v>2847</v>
      </c>
      <c r="H30" t="s">
        <v>3523</v>
      </c>
      <c r="I30" s="15"/>
      <c r="J30" s="14"/>
      <c r="K30" s="15"/>
      <c r="M30" s="14"/>
      <c r="N30">
        <v>155</v>
      </c>
    </row>
    <row r="31" spans="1:20" x14ac:dyDescent="0.3">
      <c r="A31">
        <v>30</v>
      </c>
      <c r="B31" s="14" t="s">
        <v>2380</v>
      </c>
      <c r="C31" s="14" t="s">
        <v>233</v>
      </c>
      <c r="D31" s="14"/>
      <c r="E31" s="14" t="s">
        <v>3525</v>
      </c>
      <c r="F31" s="15">
        <v>45296</v>
      </c>
      <c r="G31" s="14" t="s">
        <v>2847</v>
      </c>
      <c r="H31" t="s">
        <v>3523</v>
      </c>
      <c r="I31" s="15"/>
      <c r="J31" s="14"/>
      <c r="K31" s="15"/>
      <c r="M31" s="14"/>
      <c r="N31">
        <v>155</v>
      </c>
    </row>
    <row r="32" spans="1:20" x14ac:dyDescent="0.3">
      <c r="A32">
        <v>31</v>
      </c>
      <c r="B32" s="14" t="s">
        <v>2378</v>
      </c>
      <c r="C32" s="14" t="s">
        <v>231</v>
      </c>
      <c r="D32" s="14"/>
      <c r="E32" s="14" t="s">
        <v>3525</v>
      </c>
      <c r="F32" s="15">
        <v>45296</v>
      </c>
      <c r="G32" s="14" t="s">
        <v>2847</v>
      </c>
      <c r="H32" t="s">
        <v>3523</v>
      </c>
      <c r="I32" s="15"/>
      <c r="J32" s="14"/>
      <c r="K32" s="15"/>
      <c r="M32" s="14"/>
      <c r="N32">
        <v>155</v>
      </c>
    </row>
    <row r="33" spans="1:14" x14ac:dyDescent="0.3">
      <c r="A33">
        <v>32</v>
      </c>
      <c r="B33" s="14" t="s">
        <v>2381</v>
      </c>
      <c r="C33" s="14" t="s">
        <v>2138</v>
      </c>
      <c r="D33" s="14"/>
      <c r="E33" s="14" t="s">
        <v>3525</v>
      </c>
      <c r="F33" s="15">
        <v>45296</v>
      </c>
      <c r="G33" s="14" t="s">
        <v>2847</v>
      </c>
      <c r="H33" t="s">
        <v>3523</v>
      </c>
      <c r="I33" s="15"/>
      <c r="J33" s="14"/>
      <c r="K33" s="15"/>
      <c r="M33" s="14"/>
      <c r="N33">
        <v>155</v>
      </c>
    </row>
    <row r="34" spans="1:14" x14ac:dyDescent="0.3">
      <c r="A34">
        <v>33</v>
      </c>
      <c r="B34" s="14" t="s">
        <v>2382</v>
      </c>
      <c r="C34" s="14" t="s">
        <v>2139</v>
      </c>
      <c r="D34" s="14"/>
      <c r="E34" s="14" t="s">
        <v>3525</v>
      </c>
      <c r="F34" s="15">
        <v>45296</v>
      </c>
      <c r="G34" s="14" t="s">
        <v>2847</v>
      </c>
      <c r="H34" t="s">
        <v>3523</v>
      </c>
      <c r="I34" s="15"/>
      <c r="J34" s="14"/>
      <c r="K34" s="15"/>
      <c r="M34" s="14"/>
      <c r="N34">
        <v>155</v>
      </c>
    </row>
    <row r="35" spans="1:14" x14ac:dyDescent="0.3">
      <c r="A35">
        <v>34</v>
      </c>
      <c r="B35" s="14" t="s">
        <v>2370</v>
      </c>
      <c r="C35" s="14" t="s">
        <v>2134</v>
      </c>
      <c r="D35" s="14"/>
      <c r="E35" s="14" t="s">
        <v>3525</v>
      </c>
      <c r="F35" s="15">
        <v>45295</v>
      </c>
      <c r="G35" s="14" t="s">
        <v>2847</v>
      </c>
      <c r="H35" t="s">
        <v>3523</v>
      </c>
      <c r="I35" s="15"/>
      <c r="J35" s="14"/>
      <c r="K35" s="15"/>
      <c r="M35" s="14"/>
      <c r="N35">
        <v>156</v>
      </c>
    </row>
    <row r="36" spans="1:14" x14ac:dyDescent="0.3">
      <c r="A36">
        <v>35</v>
      </c>
      <c r="B36" s="14" t="s">
        <v>2369</v>
      </c>
      <c r="C36" s="14" t="s">
        <v>2133</v>
      </c>
      <c r="D36" s="14"/>
      <c r="E36" s="14" t="s">
        <v>3525</v>
      </c>
      <c r="F36" s="15">
        <v>45295</v>
      </c>
      <c r="G36" s="14" t="s">
        <v>2847</v>
      </c>
      <c r="H36" t="s">
        <v>3523</v>
      </c>
      <c r="I36" s="15"/>
      <c r="J36" s="14"/>
      <c r="K36" s="15"/>
      <c r="M36" s="14"/>
      <c r="N36">
        <v>156</v>
      </c>
    </row>
    <row r="37" spans="1:14" x14ac:dyDescent="0.3">
      <c r="A37">
        <v>36</v>
      </c>
      <c r="B37" s="14" t="s">
        <v>2356</v>
      </c>
      <c r="C37" s="14" t="s">
        <v>2124</v>
      </c>
      <c r="D37" s="14"/>
      <c r="E37" s="14" t="s">
        <v>3525</v>
      </c>
      <c r="F37" s="15">
        <v>45294</v>
      </c>
      <c r="G37" s="14" t="s">
        <v>2847</v>
      </c>
      <c r="H37" t="s">
        <v>3523</v>
      </c>
      <c r="I37" s="15"/>
      <c r="J37" s="14"/>
      <c r="K37" s="15"/>
      <c r="M37" s="14"/>
      <c r="N37">
        <v>157</v>
      </c>
    </row>
    <row r="38" spans="1:14" x14ac:dyDescent="0.3">
      <c r="A38">
        <v>37</v>
      </c>
      <c r="B38" s="14" t="s">
        <v>2331</v>
      </c>
      <c r="C38" s="14" t="s">
        <v>2121</v>
      </c>
      <c r="D38" s="14"/>
      <c r="E38" s="14" t="s">
        <v>3525</v>
      </c>
      <c r="F38" s="15">
        <v>45261</v>
      </c>
      <c r="G38" s="14" t="s">
        <v>2847</v>
      </c>
      <c r="H38" t="s">
        <v>3523</v>
      </c>
      <c r="I38" s="15"/>
      <c r="J38" s="14"/>
      <c r="K38" s="15"/>
      <c r="M38" s="14"/>
      <c r="N38">
        <v>190</v>
      </c>
    </row>
    <row r="39" spans="1:14" x14ac:dyDescent="0.3">
      <c r="A39">
        <v>38</v>
      </c>
      <c r="B39" s="14" t="s">
        <v>2341</v>
      </c>
      <c r="C39" s="14" t="s">
        <v>210</v>
      </c>
      <c r="D39" s="14"/>
      <c r="E39" s="14" t="s">
        <v>3525</v>
      </c>
      <c r="F39" s="15">
        <v>45261</v>
      </c>
      <c r="G39" s="14" t="s">
        <v>2846</v>
      </c>
      <c r="H39" t="s">
        <v>3523</v>
      </c>
      <c r="I39" s="15"/>
      <c r="J39" s="14"/>
      <c r="K39" s="15"/>
      <c r="M39" s="14"/>
      <c r="N39">
        <v>190</v>
      </c>
    </row>
    <row r="40" spans="1:14" x14ac:dyDescent="0.3">
      <c r="A40">
        <v>39</v>
      </c>
      <c r="B40" s="14" t="s">
        <v>2319</v>
      </c>
      <c r="C40" s="14" t="s">
        <v>199</v>
      </c>
      <c r="D40" s="14"/>
      <c r="E40" s="14" t="s">
        <v>3525</v>
      </c>
      <c r="F40" s="15">
        <v>45261</v>
      </c>
      <c r="G40" s="14" t="s">
        <v>2847</v>
      </c>
      <c r="H40" t="s">
        <v>3523</v>
      </c>
      <c r="I40" s="15"/>
      <c r="J40" s="14"/>
      <c r="K40" s="15"/>
      <c r="M40" s="14"/>
      <c r="N40">
        <v>190</v>
      </c>
    </row>
    <row r="41" spans="1:14" x14ac:dyDescent="0.3">
      <c r="A41">
        <v>40</v>
      </c>
      <c r="B41" s="14" t="s">
        <v>2329</v>
      </c>
      <c r="C41" s="14" t="s">
        <v>2120</v>
      </c>
      <c r="D41" s="14"/>
      <c r="E41" s="14" t="s">
        <v>3525</v>
      </c>
      <c r="F41" s="15">
        <v>45261</v>
      </c>
      <c r="G41" s="14" t="s">
        <v>2847</v>
      </c>
      <c r="H41" t="s">
        <v>3523</v>
      </c>
      <c r="I41" s="15"/>
      <c r="J41" s="14"/>
      <c r="K41" s="15"/>
      <c r="M41" s="14"/>
      <c r="N41">
        <v>190</v>
      </c>
    </row>
    <row r="42" spans="1:14" x14ac:dyDescent="0.3">
      <c r="A42">
        <v>41</v>
      </c>
      <c r="B42" s="14" t="s">
        <v>2330</v>
      </c>
      <c r="C42" s="14" t="s">
        <v>202</v>
      </c>
      <c r="D42" s="14"/>
      <c r="E42" s="14" t="s">
        <v>3525</v>
      </c>
      <c r="F42" s="15">
        <v>45261</v>
      </c>
      <c r="G42" s="14" t="s">
        <v>2848</v>
      </c>
      <c r="H42" t="s">
        <v>3523</v>
      </c>
      <c r="I42" s="15"/>
      <c r="J42" s="14"/>
      <c r="K42" s="15"/>
      <c r="M42" s="14"/>
      <c r="N42">
        <v>190</v>
      </c>
    </row>
    <row r="43" spans="1:14" x14ac:dyDescent="0.3">
      <c r="A43">
        <v>42</v>
      </c>
      <c r="B43" s="14" t="s">
        <v>2328</v>
      </c>
      <c r="C43" s="14" t="s">
        <v>2119</v>
      </c>
      <c r="D43" s="14"/>
      <c r="E43" s="14" t="s">
        <v>3525</v>
      </c>
      <c r="F43" s="15">
        <v>45261</v>
      </c>
      <c r="G43" s="14" t="s">
        <v>2847</v>
      </c>
      <c r="H43" t="s">
        <v>3523</v>
      </c>
      <c r="I43" s="15"/>
      <c r="J43" s="14"/>
      <c r="K43" s="15"/>
      <c r="M43" s="14"/>
      <c r="N43">
        <v>190</v>
      </c>
    </row>
    <row r="44" spans="1:14" x14ac:dyDescent="0.3">
      <c r="A44">
        <v>43</v>
      </c>
      <c r="B44" s="14" t="s">
        <v>2283</v>
      </c>
      <c r="C44" s="14" t="s">
        <v>2102</v>
      </c>
      <c r="D44" s="14"/>
      <c r="E44" s="14" t="s">
        <v>3525</v>
      </c>
      <c r="F44" s="15">
        <v>45261</v>
      </c>
      <c r="G44" s="14" t="s">
        <v>2847</v>
      </c>
      <c r="H44" t="s">
        <v>3523</v>
      </c>
      <c r="I44" s="15"/>
      <c r="J44" s="14"/>
      <c r="K44" s="15"/>
      <c r="M44" s="14"/>
      <c r="N44">
        <v>190</v>
      </c>
    </row>
    <row r="45" spans="1:14" x14ac:dyDescent="0.3">
      <c r="A45">
        <v>44</v>
      </c>
      <c r="B45" s="14" t="s">
        <v>2316</v>
      </c>
      <c r="C45" s="14" t="s">
        <v>197</v>
      </c>
      <c r="D45" s="14"/>
      <c r="E45" s="14" t="s">
        <v>3525</v>
      </c>
      <c r="F45" s="15">
        <v>45261</v>
      </c>
      <c r="G45" s="14" t="s">
        <v>2848</v>
      </c>
      <c r="H45" t="s">
        <v>3523</v>
      </c>
      <c r="I45" s="15"/>
      <c r="J45" s="14"/>
      <c r="K45" s="15"/>
      <c r="M45" s="14"/>
      <c r="N45">
        <v>190</v>
      </c>
    </row>
    <row r="46" spans="1:14" x14ac:dyDescent="0.3">
      <c r="A46">
        <v>45</v>
      </c>
      <c r="B46" s="14" t="s">
        <v>2263</v>
      </c>
      <c r="C46" s="14" t="s">
        <v>157</v>
      </c>
      <c r="D46" s="14"/>
      <c r="E46" s="14" t="s">
        <v>3525</v>
      </c>
      <c r="F46" s="15">
        <v>45261</v>
      </c>
      <c r="G46" s="14" t="s">
        <v>2847</v>
      </c>
      <c r="H46" t="s">
        <v>3523</v>
      </c>
      <c r="I46" s="15"/>
      <c r="J46" s="14"/>
      <c r="K46" s="15"/>
      <c r="M46" s="14"/>
      <c r="N46">
        <v>190</v>
      </c>
    </row>
    <row r="47" spans="1:14" x14ac:dyDescent="0.3">
      <c r="A47">
        <v>46</v>
      </c>
      <c r="B47" s="14" t="s">
        <v>2321</v>
      </c>
      <c r="C47" s="14" t="s">
        <v>2113</v>
      </c>
      <c r="D47" s="14"/>
      <c r="E47" s="14" t="s">
        <v>3525</v>
      </c>
      <c r="F47" s="15">
        <v>45261</v>
      </c>
      <c r="G47" s="14" t="s">
        <v>2848</v>
      </c>
      <c r="H47" t="s">
        <v>3523</v>
      </c>
      <c r="I47" s="15"/>
      <c r="J47" s="14"/>
      <c r="K47" s="15"/>
      <c r="M47" s="14"/>
      <c r="N47">
        <v>190</v>
      </c>
    </row>
    <row r="48" spans="1:14" x14ac:dyDescent="0.3">
      <c r="A48">
        <v>47</v>
      </c>
      <c r="B48" s="14" t="s">
        <v>2281</v>
      </c>
      <c r="C48" s="14" t="s">
        <v>172</v>
      </c>
      <c r="D48" s="14"/>
      <c r="E48" s="14" t="s">
        <v>3525</v>
      </c>
      <c r="F48" s="15">
        <v>45261</v>
      </c>
      <c r="G48" s="14" t="s">
        <v>2847</v>
      </c>
      <c r="H48" t="s">
        <v>3523</v>
      </c>
      <c r="I48" s="15"/>
      <c r="J48" s="14"/>
      <c r="K48" s="15"/>
      <c r="M48" s="14"/>
      <c r="N48">
        <v>190</v>
      </c>
    </row>
    <row r="49" spans="1:14" x14ac:dyDescent="0.3">
      <c r="A49">
        <v>48</v>
      </c>
      <c r="B49" s="14" t="s">
        <v>2239</v>
      </c>
      <c r="C49" s="14" t="s">
        <v>140</v>
      </c>
      <c r="D49" s="14"/>
      <c r="E49" s="14" t="s">
        <v>3525</v>
      </c>
      <c r="F49" s="15">
        <v>45292</v>
      </c>
      <c r="G49" s="14" t="s">
        <v>2849</v>
      </c>
      <c r="H49" t="s">
        <v>3500</v>
      </c>
      <c r="I49" s="15">
        <v>45292</v>
      </c>
      <c r="J49" s="14" t="s">
        <v>3521</v>
      </c>
      <c r="K49" s="15"/>
      <c r="M49" s="14" t="s">
        <v>3477</v>
      </c>
      <c r="N49">
        <v>0</v>
      </c>
    </row>
    <row r="50" spans="1:14" x14ac:dyDescent="0.3">
      <c r="A50">
        <v>49</v>
      </c>
      <c r="B50" s="14" t="s">
        <v>2235</v>
      </c>
      <c r="C50" s="14" t="s">
        <v>137</v>
      </c>
      <c r="D50" s="14"/>
      <c r="E50" s="14" t="s">
        <v>3525</v>
      </c>
      <c r="F50" s="15">
        <v>45292</v>
      </c>
      <c r="G50" s="14" t="s">
        <v>2849</v>
      </c>
      <c r="H50" t="s">
        <v>3500</v>
      </c>
      <c r="I50" s="15">
        <v>45292</v>
      </c>
      <c r="J50" s="14" t="s">
        <v>3521</v>
      </c>
      <c r="K50" s="15"/>
      <c r="M50" s="14" t="s">
        <v>3477</v>
      </c>
      <c r="N50">
        <v>0</v>
      </c>
    </row>
    <row r="51" spans="1:14" x14ac:dyDescent="0.3">
      <c r="A51">
        <v>50</v>
      </c>
      <c r="B51" s="14" t="s">
        <v>2271</v>
      </c>
      <c r="C51" s="14" t="s">
        <v>162</v>
      </c>
      <c r="D51" s="14"/>
      <c r="E51" s="14" t="s">
        <v>3525</v>
      </c>
      <c r="F51" s="15">
        <v>45292</v>
      </c>
      <c r="G51" s="14" t="s">
        <v>2845</v>
      </c>
      <c r="H51" t="s">
        <v>3524</v>
      </c>
      <c r="I51" s="15"/>
      <c r="J51" s="14" t="s">
        <v>3521</v>
      </c>
      <c r="K51" s="15"/>
      <c r="M51" s="14"/>
    </row>
    <row r="52" spans="1:14" x14ac:dyDescent="0.3">
      <c r="A52">
        <v>51</v>
      </c>
      <c r="B52" s="14" t="s">
        <v>2279</v>
      </c>
      <c r="C52" s="14" t="s">
        <v>170</v>
      </c>
      <c r="D52" s="14"/>
      <c r="E52" s="14" t="s">
        <v>3525</v>
      </c>
      <c r="F52" s="15">
        <v>45292</v>
      </c>
      <c r="G52" s="14" t="s">
        <v>2847</v>
      </c>
      <c r="H52" t="s">
        <v>3524</v>
      </c>
      <c r="I52" s="15"/>
      <c r="J52" s="14" t="s">
        <v>3521</v>
      </c>
      <c r="K52" s="15"/>
      <c r="M52" s="14"/>
    </row>
    <row r="53" spans="1:14" x14ac:dyDescent="0.3">
      <c r="A53">
        <v>52</v>
      </c>
      <c r="B53" s="14" t="s">
        <v>2237</v>
      </c>
      <c r="C53" s="14" t="s">
        <v>2093</v>
      </c>
      <c r="D53" s="14"/>
      <c r="E53" s="14" t="s">
        <v>3525</v>
      </c>
      <c r="F53" s="15">
        <v>45261</v>
      </c>
      <c r="G53" s="14" t="s">
        <v>2849</v>
      </c>
      <c r="H53" t="s">
        <v>3524</v>
      </c>
      <c r="I53" s="15"/>
      <c r="J53" s="14" t="s">
        <v>3521</v>
      </c>
      <c r="K53" s="15"/>
      <c r="M53" s="14" t="s">
        <v>3477</v>
      </c>
    </row>
    <row r="54" spans="1:14" x14ac:dyDescent="0.3">
      <c r="A54">
        <v>53</v>
      </c>
      <c r="B54" s="14" t="s">
        <v>2264</v>
      </c>
      <c r="C54" s="14" t="s">
        <v>2100</v>
      </c>
      <c r="D54" s="14"/>
      <c r="E54" s="14" t="s">
        <v>3525</v>
      </c>
      <c r="F54" s="15">
        <v>45292</v>
      </c>
      <c r="G54" s="14" t="s">
        <v>2847</v>
      </c>
      <c r="H54" t="s">
        <v>3524</v>
      </c>
      <c r="I54" s="15"/>
      <c r="J54" s="14" t="s">
        <v>3521</v>
      </c>
      <c r="K54" s="15"/>
      <c r="M54" s="14"/>
    </row>
    <row r="55" spans="1:14" x14ac:dyDescent="0.3">
      <c r="A55">
        <v>54</v>
      </c>
      <c r="B55" s="14" t="s">
        <v>2388</v>
      </c>
      <c r="C55" s="14" t="s">
        <v>238</v>
      </c>
      <c r="D55" s="14"/>
      <c r="E55" s="14" t="s">
        <v>3525</v>
      </c>
      <c r="F55" s="15">
        <v>45299</v>
      </c>
      <c r="G55" s="14" t="s">
        <v>2847</v>
      </c>
      <c r="H55" t="s">
        <v>3524</v>
      </c>
      <c r="I55" s="15"/>
      <c r="J55" s="14" t="s">
        <v>3521</v>
      </c>
      <c r="K55" s="15"/>
      <c r="M55" s="14"/>
    </row>
    <row r="56" spans="1:14" x14ac:dyDescent="0.3">
      <c r="A56">
        <v>55</v>
      </c>
      <c r="B56" s="14" t="s">
        <v>2562</v>
      </c>
      <c r="C56" s="14" t="s">
        <v>347</v>
      </c>
      <c r="D56" s="14" t="s">
        <v>1115</v>
      </c>
      <c r="E56" s="14" t="s">
        <v>3525</v>
      </c>
      <c r="F56" s="15">
        <v>45366</v>
      </c>
      <c r="G56" s="14" t="s">
        <v>2845</v>
      </c>
      <c r="H56" t="s">
        <v>3501</v>
      </c>
      <c r="I56" s="15">
        <v>45366</v>
      </c>
      <c r="J56" s="14"/>
      <c r="K56" s="15"/>
      <c r="M56" s="14"/>
      <c r="N56">
        <v>85</v>
      </c>
    </row>
    <row r="57" spans="1:14" x14ac:dyDescent="0.3">
      <c r="A57">
        <v>56</v>
      </c>
      <c r="B57" s="14" t="s">
        <v>2681</v>
      </c>
      <c r="C57" s="14" t="s">
        <v>448</v>
      </c>
      <c r="D57" s="14" t="s">
        <v>1115</v>
      </c>
      <c r="E57" s="14" t="s">
        <v>3525</v>
      </c>
      <c r="F57" s="15">
        <v>45400</v>
      </c>
      <c r="G57" s="14" t="s">
        <v>2847</v>
      </c>
      <c r="H57" t="s">
        <v>3524</v>
      </c>
      <c r="I57" s="15"/>
      <c r="J57" s="14"/>
      <c r="K57" s="15"/>
      <c r="M57" s="14"/>
      <c r="N57">
        <v>51</v>
      </c>
    </row>
    <row r="58" spans="1:14" x14ac:dyDescent="0.3">
      <c r="A58">
        <v>57</v>
      </c>
      <c r="B58" s="14" t="s">
        <v>2672</v>
      </c>
      <c r="C58" s="14" t="s">
        <v>440</v>
      </c>
      <c r="D58" s="14" t="s">
        <v>1115</v>
      </c>
      <c r="E58" s="14" t="s">
        <v>3525</v>
      </c>
      <c r="F58" s="15">
        <v>45399</v>
      </c>
      <c r="G58" s="14" t="s">
        <v>2848</v>
      </c>
      <c r="H58" t="s">
        <v>3523</v>
      </c>
      <c r="I58" s="15"/>
      <c r="J58" s="14"/>
      <c r="K58" s="15"/>
      <c r="M58" s="14"/>
      <c r="N58">
        <v>52</v>
      </c>
    </row>
    <row r="59" spans="1:14" x14ac:dyDescent="0.3">
      <c r="A59">
        <v>58</v>
      </c>
      <c r="B59" s="14" t="s">
        <v>2450</v>
      </c>
      <c r="C59" s="14" t="s">
        <v>262</v>
      </c>
      <c r="D59" s="14" t="s">
        <v>1115</v>
      </c>
      <c r="E59" s="14" t="s">
        <v>3525</v>
      </c>
      <c r="F59" s="15">
        <v>45321</v>
      </c>
      <c r="G59" s="14" t="s">
        <v>2847</v>
      </c>
      <c r="H59" t="s">
        <v>3523</v>
      </c>
      <c r="I59" s="15"/>
      <c r="J59" s="14"/>
      <c r="K59" s="15"/>
      <c r="M59" s="14"/>
      <c r="N59">
        <v>130</v>
      </c>
    </row>
    <row r="60" spans="1:14" x14ac:dyDescent="0.3">
      <c r="A60">
        <v>59</v>
      </c>
      <c r="B60" s="14" t="s">
        <v>2449</v>
      </c>
      <c r="C60" s="14" t="s">
        <v>2177</v>
      </c>
      <c r="D60" s="14" t="s">
        <v>1115</v>
      </c>
      <c r="E60" s="14" t="s">
        <v>3525</v>
      </c>
      <c r="F60" s="15">
        <v>45320</v>
      </c>
      <c r="G60" s="14" t="s">
        <v>2847</v>
      </c>
      <c r="H60" t="s">
        <v>3523</v>
      </c>
      <c r="I60" s="15"/>
      <c r="J60" s="14"/>
      <c r="K60" s="15"/>
      <c r="M60" s="14"/>
      <c r="N60">
        <v>131</v>
      </c>
    </row>
    <row r="61" spans="1:14" x14ac:dyDescent="0.3">
      <c r="A61">
        <v>60</v>
      </c>
      <c r="B61" s="14" t="s">
        <v>2691</v>
      </c>
      <c r="C61" s="14" t="s">
        <v>456</v>
      </c>
      <c r="D61" s="14" t="s">
        <v>1115</v>
      </c>
      <c r="E61" s="14" t="s">
        <v>3525</v>
      </c>
      <c r="F61" s="15">
        <v>45403</v>
      </c>
      <c r="G61" s="14" t="s">
        <v>2847</v>
      </c>
      <c r="H61" t="s">
        <v>3524</v>
      </c>
      <c r="I61" s="15"/>
      <c r="J61" s="14" t="s">
        <v>3521</v>
      </c>
      <c r="K61" s="15"/>
      <c r="M61" s="14"/>
    </row>
    <row r="62" spans="1:14" x14ac:dyDescent="0.3">
      <c r="A62">
        <v>61</v>
      </c>
      <c r="B62" s="14" t="s">
        <v>2454</v>
      </c>
      <c r="C62" s="14" t="s">
        <v>2180</v>
      </c>
      <c r="D62" s="14" t="s">
        <v>1115</v>
      </c>
      <c r="E62" s="14" t="s">
        <v>3525</v>
      </c>
      <c r="F62" s="15">
        <v>45321</v>
      </c>
      <c r="G62" s="14" t="s">
        <v>2847</v>
      </c>
      <c r="H62" t="s">
        <v>3524</v>
      </c>
      <c r="I62" s="15"/>
      <c r="J62" s="14" t="s">
        <v>3521</v>
      </c>
      <c r="K62" s="15"/>
      <c r="M62" s="14"/>
    </row>
    <row r="63" spans="1:14" x14ac:dyDescent="0.3">
      <c r="A63">
        <v>62</v>
      </c>
      <c r="B63" s="14" t="s">
        <v>2277</v>
      </c>
      <c r="C63" s="14" t="s">
        <v>168</v>
      </c>
      <c r="D63" s="14" t="s">
        <v>86</v>
      </c>
      <c r="E63" s="14" t="s">
        <v>20</v>
      </c>
      <c r="F63" s="15">
        <v>45261</v>
      </c>
      <c r="G63" s="14" t="s">
        <v>2845</v>
      </c>
      <c r="H63" t="s">
        <v>3524</v>
      </c>
      <c r="I63" s="15"/>
      <c r="J63" s="14"/>
      <c r="K63" s="15"/>
      <c r="M63" s="14"/>
      <c r="N63">
        <v>190</v>
      </c>
    </row>
    <row r="64" spans="1:14" x14ac:dyDescent="0.3">
      <c r="A64">
        <v>63</v>
      </c>
      <c r="B64" s="14" t="s">
        <v>2632</v>
      </c>
      <c r="C64" s="14" t="s">
        <v>402</v>
      </c>
      <c r="D64" s="14" t="s">
        <v>86</v>
      </c>
      <c r="E64" s="14" t="s">
        <v>20</v>
      </c>
      <c r="F64" s="15">
        <v>45386</v>
      </c>
      <c r="G64" s="14" t="s">
        <v>3539</v>
      </c>
      <c r="H64" t="s">
        <v>3523</v>
      </c>
      <c r="I64" s="15"/>
      <c r="J64" s="14"/>
      <c r="K64" s="15"/>
      <c r="M64" s="14"/>
      <c r="N64">
        <v>65</v>
      </c>
    </row>
    <row r="65" spans="1:14" x14ac:dyDescent="0.3">
      <c r="A65">
        <v>64</v>
      </c>
      <c r="B65" s="14" t="s">
        <v>2623</v>
      </c>
      <c r="C65" s="14" t="s">
        <v>394</v>
      </c>
      <c r="D65" s="14" t="s">
        <v>86</v>
      </c>
      <c r="E65" s="14" t="s">
        <v>20</v>
      </c>
      <c r="F65" s="15">
        <v>45384</v>
      </c>
      <c r="G65" s="14" t="s">
        <v>2847</v>
      </c>
      <c r="H65" t="s">
        <v>3523</v>
      </c>
      <c r="I65" s="15"/>
      <c r="J65" s="14"/>
      <c r="K65" s="15"/>
      <c r="M65" s="14"/>
      <c r="N65">
        <v>67</v>
      </c>
    </row>
    <row r="66" spans="1:14" x14ac:dyDescent="0.3">
      <c r="A66">
        <v>65</v>
      </c>
      <c r="B66" s="14" t="s">
        <v>2499</v>
      </c>
      <c r="C66" s="14" t="s">
        <v>306</v>
      </c>
      <c r="D66" s="14" t="s">
        <v>86</v>
      </c>
      <c r="E66" s="14" t="s">
        <v>20</v>
      </c>
      <c r="F66" s="15">
        <v>45349</v>
      </c>
      <c r="G66" s="14" t="s">
        <v>2846</v>
      </c>
      <c r="H66" t="s">
        <v>3523</v>
      </c>
      <c r="I66" s="15"/>
      <c r="J66" s="14"/>
      <c r="K66" s="15"/>
      <c r="M66" s="14"/>
      <c r="N66">
        <v>102</v>
      </c>
    </row>
    <row r="67" spans="1:14" x14ac:dyDescent="0.3">
      <c r="A67">
        <v>66</v>
      </c>
      <c r="B67" s="14" t="s">
        <v>2447</v>
      </c>
      <c r="C67" s="14" t="s">
        <v>2176</v>
      </c>
      <c r="D67" s="14" t="s">
        <v>86</v>
      </c>
      <c r="E67" s="14" t="s">
        <v>20</v>
      </c>
      <c r="F67" s="15">
        <v>45319</v>
      </c>
      <c r="G67" s="14" t="s">
        <v>2847</v>
      </c>
      <c r="H67" t="s">
        <v>3523</v>
      </c>
      <c r="I67" s="15"/>
      <c r="J67" s="14"/>
      <c r="K67" s="15"/>
      <c r="M67" s="14"/>
      <c r="N67">
        <v>132</v>
      </c>
    </row>
    <row r="68" spans="1:14" x14ac:dyDescent="0.3">
      <c r="A68">
        <v>67</v>
      </c>
      <c r="B68" s="14" t="s">
        <v>2441</v>
      </c>
      <c r="C68" s="14" t="s">
        <v>458</v>
      </c>
      <c r="D68" s="14" t="s">
        <v>86</v>
      </c>
      <c r="E68" s="14" t="s">
        <v>20</v>
      </c>
      <c r="F68" s="15">
        <v>45317</v>
      </c>
      <c r="G68" s="14" t="s">
        <v>2847</v>
      </c>
      <c r="H68" t="s">
        <v>3523</v>
      </c>
      <c r="I68" s="15"/>
      <c r="J68" s="14"/>
      <c r="K68" s="15"/>
      <c r="M68" s="14"/>
      <c r="N68">
        <v>134</v>
      </c>
    </row>
    <row r="69" spans="1:14" x14ac:dyDescent="0.3">
      <c r="A69">
        <v>68</v>
      </c>
      <c r="B69" s="14" t="s">
        <v>2438</v>
      </c>
      <c r="C69" s="14" t="s">
        <v>2174</v>
      </c>
      <c r="D69" s="14" t="s">
        <v>86</v>
      </c>
      <c r="E69" s="14" t="s">
        <v>20</v>
      </c>
      <c r="F69" s="15">
        <v>45316</v>
      </c>
      <c r="G69" s="14" t="s">
        <v>2847</v>
      </c>
      <c r="H69" t="s">
        <v>3523</v>
      </c>
      <c r="I69" s="15"/>
      <c r="J69" s="14"/>
      <c r="K69" s="15"/>
      <c r="M69" s="14"/>
      <c r="N69">
        <v>135</v>
      </c>
    </row>
    <row r="70" spans="1:14" x14ac:dyDescent="0.3">
      <c r="A70">
        <v>69</v>
      </c>
      <c r="B70" s="14" t="s">
        <v>2431</v>
      </c>
      <c r="C70" s="14" t="s">
        <v>2169</v>
      </c>
      <c r="D70" s="14" t="s">
        <v>86</v>
      </c>
      <c r="E70" s="14" t="s">
        <v>20</v>
      </c>
      <c r="F70" s="15">
        <v>45313</v>
      </c>
      <c r="G70" s="14" t="s">
        <v>2847</v>
      </c>
      <c r="H70" t="s">
        <v>3523</v>
      </c>
      <c r="I70" s="15"/>
      <c r="J70" s="14"/>
      <c r="K70" s="15"/>
      <c r="M70" s="14"/>
      <c r="N70">
        <v>138</v>
      </c>
    </row>
    <row r="71" spans="1:14" x14ac:dyDescent="0.3">
      <c r="A71">
        <v>70</v>
      </c>
      <c r="B71" s="14" t="s">
        <v>2406</v>
      </c>
      <c r="C71" s="14" t="s">
        <v>244</v>
      </c>
      <c r="D71" s="14" t="s">
        <v>86</v>
      </c>
      <c r="E71" s="14" t="s">
        <v>20</v>
      </c>
      <c r="F71" s="15">
        <v>45303</v>
      </c>
      <c r="G71" s="14" t="s">
        <v>2847</v>
      </c>
      <c r="H71" t="s">
        <v>3523</v>
      </c>
      <c r="I71" s="15"/>
      <c r="J71" s="14"/>
      <c r="K71" s="15"/>
      <c r="M71" s="14"/>
      <c r="N71">
        <v>148</v>
      </c>
    </row>
    <row r="72" spans="1:14" x14ac:dyDescent="0.3">
      <c r="A72">
        <v>71</v>
      </c>
      <c r="B72" s="14" t="s">
        <v>2525</v>
      </c>
      <c r="C72" s="14" t="s">
        <v>321</v>
      </c>
      <c r="D72" s="14" t="s">
        <v>86</v>
      </c>
      <c r="E72" s="14" t="s">
        <v>20</v>
      </c>
      <c r="F72" s="15">
        <v>45355</v>
      </c>
      <c r="G72" s="14" t="s">
        <v>2846</v>
      </c>
      <c r="H72" t="s">
        <v>3524</v>
      </c>
      <c r="I72" s="15"/>
      <c r="J72" s="14" t="s">
        <v>3521</v>
      </c>
      <c r="K72" s="15"/>
      <c r="M72" s="14"/>
    </row>
    <row r="73" spans="1:14" x14ac:dyDescent="0.3">
      <c r="A73">
        <v>72</v>
      </c>
      <c r="B73" s="14" t="s">
        <v>2506</v>
      </c>
      <c r="C73" s="14" t="s">
        <v>2186</v>
      </c>
      <c r="D73" s="14" t="s">
        <v>86</v>
      </c>
      <c r="E73" s="14" t="s">
        <v>20</v>
      </c>
      <c r="F73" s="15">
        <v>45351</v>
      </c>
      <c r="G73" s="14" t="s">
        <v>2846</v>
      </c>
      <c r="H73" t="s">
        <v>3524</v>
      </c>
      <c r="I73" s="15"/>
      <c r="J73" s="14" t="s">
        <v>3521</v>
      </c>
      <c r="K73" s="15"/>
      <c r="M73" s="14"/>
    </row>
    <row r="74" spans="1:14" x14ac:dyDescent="0.3">
      <c r="A74">
        <v>73</v>
      </c>
      <c r="B74" s="14" t="s">
        <v>2344</v>
      </c>
      <c r="C74" s="14" t="s">
        <v>213</v>
      </c>
      <c r="D74" s="14" t="s">
        <v>90</v>
      </c>
      <c r="E74" s="14" t="s">
        <v>1213</v>
      </c>
      <c r="F74" s="15">
        <v>45292</v>
      </c>
      <c r="G74" s="14" t="s">
        <v>2847</v>
      </c>
      <c r="H74" t="s">
        <v>3501</v>
      </c>
      <c r="I74" s="15">
        <v>45308</v>
      </c>
      <c r="J74" s="14"/>
      <c r="K74" s="15"/>
      <c r="M74" s="14"/>
      <c r="N74">
        <v>159</v>
      </c>
    </row>
    <row r="75" spans="1:14" x14ac:dyDescent="0.3">
      <c r="A75">
        <v>74</v>
      </c>
      <c r="B75" s="14" t="s">
        <v>2789</v>
      </c>
      <c r="C75" s="14" t="s">
        <v>544</v>
      </c>
      <c r="D75" s="14" t="s">
        <v>90</v>
      </c>
      <c r="E75" s="14" t="s">
        <v>1213</v>
      </c>
      <c r="F75" s="15">
        <v>45412</v>
      </c>
      <c r="G75" s="14" t="s">
        <v>2847</v>
      </c>
      <c r="H75" t="s">
        <v>3523</v>
      </c>
      <c r="I75" s="15"/>
      <c r="J75" s="14"/>
      <c r="K75" s="15"/>
      <c r="M75" s="14"/>
      <c r="N75">
        <v>39</v>
      </c>
    </row>
    <row r="76" spans="1:14" x14ac:dyDescent="0.3">
      <c r="A76">
        <v>75</v>
      </c>
      <c r="B76" s="14" t="s">
        <v>2778</v>
      </c>
      <c r="C76" s="14" t="s">
        <v>533</v>
      </c>
      <c r="D76" s="14" t="s">
        <v>90</v>
      </c>
      <c r="E76" s="14" t="s">
        <v>1213</v>
      </c>
      <c r="F76" s="15">
        <v>45411</v>
      </c>
      <c r="G76" s="14" t="s">
        <v>2847</v>
      </c>
      <c r="H76" t="s">
        <v>3523</v>
      </c>
      <c r="I76" s="15"/>
      <c r="J76" s="14"/>
      <c r="K76" s="15"/>
      <c r="M76" s="14"/>
      <c r="N76">
        <v>40</v>
      </c>
    </row>
    <row r="77" spans="1:14" x14ac:dyDescent="0.3">
      <c r="A77">
        <v>76</v>
      </c>
      <c r="B77" s="14" t="s">
        <v>2412</v>
      </c>
      <c r="C77" s="14" t="s">
        <v>248</v>
      </c>
      <c r="D77" s="14" t="s">
        <v>90</v>
      </c>
      <c r="E77" s="14" t="s">
        <v>1213</v>
      </c>
      <c r="F77" s="15">
        <v>45306</v>
      </c>
      <c r="G77" s="14" t="s">
        <v>2847</v>
      </c>
      <c r="H77" t="s">
        <v>3523</v>
      </c>
      <c r="I77" s="15"/>
      <c r="J77" s="14"/>
      <c r="K77" s="15"/>
      <c r="M77" s="14"/>
      <c r="N77">
        <v>145</v>
      </c>
    </row>
    <row r="78" spans="1:14" x14ac:dyDescent="0.3">
      <c r="A78">
        <v>77</v>
      </c>
      <c r="B78" s="14" t="s">
        <v>2407</v>
      </c>
      <c r="C78" s="14" t="s">
        <v>2153</v>
      </c>
      <c r="D78" s="14" t="s">
        <v>90</v>
      </c>
      <c r="E78" s="14" t="s">
        <v>1213</v>
      </c>
      <c r="F78" s="15">
        <v>45303</v>
      </c>
      <c r="G78" s="14" t="s">
        <v>2847</v>
      </c>
      <c r="H78" t="s">
        <v>3523</v>
      </c>
      <c r="I78" s="15"/>
      <c r="J78" s="14"/>
      <c r="K78" s="15"/>
      <c r="M78" s="14"/>
      <c r="N78">
        <v>148</v>
      </c>
    </row>
    <row r="79" spans="1:14" x14ac:dyDescent="0.3">
      <c r="A79">
        <v>78</v>
      </c>
      <c r="B79" s="14" t="s">
        <v>2400</v>
      </c>
      <c r="C79" s="14" t="s">
        <v>2149</v>
      </c>
      <c r="D79" s="14" t="s">
        <v>90</v>
      </c>
      <c r="E79" s="14" t="s">
        <v>1213</v>
      </c>
      <c r="F79" s="15">
        <v>45301</v>
      </c>
      <c r="G79" s="14" t="s">
        <v>2847</v>
      </c>
      <c r="H79" t="s">
        <v>3523</v>
      </c>
      <c r="I79" s="15"/>
      <c r="J79" s="14"/>
      <c r="K79" s="15"/>
      <c r="M79" s="14"/>
      <c r="N79">
        <v>150</v>
      </c>
    </row>
    <row r="80" spans="1:14" x14ac:dyDescent="0.3">
      <c r="A80">
        <v>79</v>
      </c>
      <c r="B80" s="14" t="s">
        <v>2313</v>
      </c>
      <c r="C80" s="14" t="s">
        <v>2111</v>
      </c>
      <c r="D80" s="14" t="s">
        <v>90</v>
      </c>
      <c r="E80" s="14" t="s">
        <v>1213</v>
      </c>
      <c r="F80" s="15">
        <v>45261</v>
      </c>
      <c r="G80" s="14" t="s">
        <v>2847</v>
      </c>
      <c r="H80" t="s">
        <v>3523</v>
      </c>
      <c r="I80" s="15"/>
      <c r="J80" s="14"/>
      <c r="K80" s="15"/>
      <c r="M80" s="14"/>
      <c r="N80">
        <v>190</v>
      </c>
    </row>
    <row r="81" spans="1:14" x14ac:dyDescent="0.3">
      <c r="A81">
        <v>80</v>
      </c>
      <c r="B81" s="14" t="s">
        <v>2368</v>
      </c>
      <c r="C81" s="14" t="s">
        <v>226</v>
      </c>
      <c r="D81" s="14" t="s">
        <v>90</v>
      </c>
      <c r="E81" s="14" t="s">
        <v>1213</v>
      </c>
      <c r="F81" s="15">
        <v>45294</v>
      </c>
      <c r="G81" s="14" t="s">
        <v>2845</v>
      </c>
      <c r="H81" t="s">
        <v>3501</v>
      </c>
      <c r="I81" s="15">
        <v>45308</v>
      </c>
      <c r="J81" s="14" t="s">
        <v>3521</v>
      </c>
      <c r="K81" s="15"/>
      <c r="M81" s="14" t="s">
        <v>3477</v>
      </c>
      <c r="N81">
        <v>14</v>
      </c>
    </row>
    <row r="82" spans="1:14" x14ac:dyDescent="0.3">
      <c r="A82">
        <v>81</v>
      </c>
      <c r="B82" s="14" t="s">
        <v>2345</v>
      </c>
      <c r="C82" s="14" t="s">
        <v>214</v>
      </c>
      <c r="D82" s="14" t="s">
        <v>90</v>
      </c>
      <c r="E82" s="14" t="s">
        <v>1213</v>
      </c>
      <c r="F82" s="15">
        <v>45292</v>
      </c>
      <c r="G82" s="14" t="s">
        <v>2847</v>
      </c>
      <c r="H82" t="s">
        <v>3501</v>
      </c>
      <c r="I82" s="15">
        <v>45308</v>
      </c>
      <c r="J82" s="14" t="s">
        <v>3521</v>
      </c>
      <c r="K82" s="15"/>
      <c r="M82" s="14" t="s">
        <v>3477</v>
      </c>
      <c r="N82">
        <v>16</v>
      </c>
    </row>
    <row r="83" spans="1:14" x14ac:dyDescent="0.3">
      <c r="A83">
        <v>82</v>
      </c>
      <c r="B83" s="14" t="s">
        <v>2501</v>
      </c>
      <c r="C83" s="14" t="s">
        <v>308</v>
      </c>
      <c r="D83" s="14" t="s">
        <v>90</v>
      </c>
      <c r="E83" s="14" t="s">
        <v>1213</v>
      </c>
      <c r="F83" s="15">
        <v>45349</v>
      </c>
      <c r="G83" s="14" t="s">
        <v>2845</v>
      </c>
      <c r="H83" t="s">
        <v>3500</v>
      </c>
      <c r="I83" s="15">
        <v>45349</v>
      </c>
      <c r="J83" s="14" t="s">
        <v>3521</v>
      </c>
      <c r="K83" s="15"/>
      <c r="M83" s="14" t="s">
        <v>3477</v>
      </c>
      <c r="N83">
        <v>0</v>
      </c>
    </row>
    <row r="84" spans="1:14" x14ac:dyDescent="0.3">
      <c r="A84">
        <v>83</v>
      </c>
      <c r="B84" s="14" t="s">
        <v>2440</v>
      </c>
      <c r="C84" s="14" t="s">
        <v>256</v>
      </c>
      <c r="D84" s="14" t="s">
        <v>90</v>
      </c>
      <c r="E84" s="14" t="s">
        <v>1213</v>
      </c>
      <c r="F84" s="15">
        <v>45317</v>
      </c>
      <c r="G84" s="14" t="s">
        <v>2847</v>
      </c>
      <c r="H84" t="s">
        <v>3500</v>
      </c>
      <c r="I84" s="15">
        <v>45322</v>
      </c>
      <c r="J84" s="14" t="s">
        <v>3521</v>
      </c>
      <c r="K84" s="15"/>
      <c r="M84" s="14" t="s">
        <v>3477</v>
      </c>
      <c r="N84">
        <v>5</v>
      </c>
    </row>
    <row r="85" spans="1:14" x14ac:dyDescent="0.3">
      <c r="A85">
        <v>84</v>
      </c>
      <c r="B85" s="14" t="s">
        <v>2405</v>
      </c>
      <c r="C85" s="14" t="s">
        <v>243</v>
      </c>
      <c r="D85" s="14" t="s">
        <v>90</v>
      </c>
      <c r="E85" s="14" t="s">
        <v>1213</v>
      </c>
      <c r="F85" s="15">
        <v>45303</v>
      </c>
      <c r="G85" s="14" t="s">
        <v>2847</v>
      </c>
      <c r="H85" t="s">
        <v>3500</v>
      </c>
      <c r="I85" s="15">
        <v>45322</v>
      </c>
      <c r="J85" s="14" t="s">
        <v>3521</v>
      </c>
      <c r="K85" s="15"/>
      <c r="M85" s="14" t="s">
        <v>3477</v>
      </c>
      <c r="N85">
        <v>19</v>
      </c>
    </row>
    <row r="86" spans="1:14" x14ac:dyDescent="0.3">
      <c r="A86">
        <v>85</v>
      </c>
      <c r="B86" s="14" t="s">
        <v>2346</v>
      </c>
      <c r="C86" s="14" t="s">
        <v>215</v>
      </c>
      <c r="D86" s="14" t="s">
        <v>90</v>
      </c>
      <c r="E86" s="14" t="s">
        <v>1213</v>
      </c>
      <c r="F86" s="15">
        <v>45292</v>
      </c>
      <c r="G86" s="14" t="s">
        <v>2847</v>
      </c>
      <c r="H86" t="s">
        <v>3524</v>
      </c>
      <c r="I86" s="15"/>
      <c r="J86" s="14" t="s">
        <v>3521</v>
      </c>
      <c r="K86" s="15"/>
      <c r="M86" s="14"/>
    </row>
    <row r="87" spans="1:14" x14ac:dyDescent="0.3">
      <c r="A87">
        <v>86</v>
      </c>
      <c r="B87" s="14" t="s">
        <v>2387</v>
      </c>
      <c r="C87" s="14" t="s">
        <v>237</v>
      </c>
      <c r="D87" s="14" t="s">
        <v>91</v>
      </c>
      <c r="E87" s="14" t="s">
        <v>27</v>
      </c>
      <c r="F87" s="15">
        <v>45299</v>
      </c>
      <c r="G87" s="14" t="s">
        <v>2847</v>
      </c>
      <c r="H87" t="s">
        <v>3501</v>
      </c>
      <c r="I87" s="15">
        <v>45313</v>
      </c>
      <c r="J87" s="14"/>
      <c r="K87" s="15"/>
      <c r="M87" s="14"/>
      <c r="N87">
        <v>152</v>
      </c>
    </row>
    <row r="88" spans="1:14" x14ac:dyDescent="0.3">
      <c r="A88">
        <v>87</v>
      </c>
      <c r="B88" s="14" t="s">
        <v>2445</v>
      </c>
      <c r="C88" s="14" t="s">
        <v>260</v>
      </c>
      <c r="D88" s="14" t="s">
        <v>91</v>
      </c>
      <c r="E88" s="14" t="s">
        <v>27</v>
      </c>
      <c r="F88" s="15">
        <v>45317</v>
      </c>
      <c r="G88" s="14" t="s">
        <v>2847</v>
      </c>
      <c r="H88" t="s">
        <v>3500</v>
      </c>
      <c r="I88" s="15">
        <v>45323</v>
      </c>
      <c r="J88" s="14"/>
      <c r="K88" s="15"/>
      <c r="M88" s="14"/>
      <c r="N88">
        <v>134</v>
      </c>
    </row>
    <row r="89" spans="1:14" x14ac:dyDescent="0.3">
      <c r="A89">
        <v>88</v>
      </c>
      <c r="B89" s="14" t="s">
        <v>2290</v>
      </c>
      <c r="C89" s="14" t="s">
        <v>2106</v>
      </c>
      <c r="D89" s="14" t="s">
        <v>91</v>
      </c>
      <c r="E89" s="14" t="s">
        <v>27</v>
      </c>
      <c r="F89" s="15">
        <v>45261</v>
      </c>
      <c r="G89" s="14" t="s">
        <v>2847</v>
      </c>
      <c r="H89" t="s">
        <v>3524</v>
      </c>
      <c r="I89" s="15"/>
      <c r="J89" s="14"/>
      <c r="K89" s="15"/>
      <c r="M89" s="14"/>
      <c r="N89">
        <v>190</v>
      </c>
    </row>
    <row r="90" spans="1:14" x14ac:dyDescent="0.3">
      <c r="A90">
        <v>89</v>
      </c>
      <c r="B90" s="14" t="s">
        <v>2417</v>
      </c>
      <c r="C90" s="14" t="s">
        <v>2158</v>
      </c>
      <c r="D90" s="14" t="s">
        <v>91</v>
      </c>
      <c r="E90" s="14" t="s">
        <v>27</v>
      </c>
      <c r="F90" s="15">
        <v>45307</v>
      </c>
      <c r="G90" s="14" t="s">
        <v>2847</v>
      </c>
      <c r="H90" t="s">
        <v>3523</v>
      </c>
      <c r="I90" s="15"/>
      <c r="J90" s="14"/>
      <c r="K90" s="15"/>
      <c r="M90" s="14"/>
      <c r="N90">
        <v>144</v>
      </c>
    </row>
    <row r="91" spans="1:14" x14ac:dyDescent="0.3">
      <c r="A91">
        <v>90</v>
      </c>
      <c r="B91" s="14" t="s">
        <v>2402</v>
      </c>
      <c r="C91" s="14" t="s">
        <v>242</v>
      </c>
      <c r="D91" s="14" t="s">
        <v>91</v>
      </c>
      <c r="E91" s="14" t="s">
        <v>27</v>
      </c>
      <c r="F91" s="15">
        <v>45302</v>
      </c>
      <c r="G91" s="14" t="s">
        <v>2847</v>
      </c>
      <c r="H91" t="s">
        <v>3523</v>
      </c>
      <c r="I91" s="15"/>
      <c r="J91" s="14"/>
      <c r="K91" s="15"/>
      <c r="M91" s="14"/>
      <c r="N91">
        <v>149</v>
      </c>
    </row>
    <row r="92" spans="1:14" x14ac:dyDescent="0.3">
      <c r="A92">
        <v>91</v>
      </c>
      <c r="B92" s="14" t="s">
        <v>2390</v>
      </c>
      <c r="C92" s="14" t="s">
        <v>239</v>
      </c>
      <c r="D92" s="14" t="s">
        <v>91</v>
      </c>
      <c r="E92" s="14" t="s">
        <v>27</v>
      </c>
      <c r="F92" s="15">
        <v>45299</v>
      </c>
      <c r="G92" s="14" t="s">
        <v>2847</v>
      </c>
      <c r="H92" t="s">
        <v>3523</v>
      </c>
      <c r="I92" s="15"/>
      <c r="J92" s="14"/>
      <c r="K92" s="15"/>
      <c r="M92" s="14"/>
      <c r="N92">
        <v>152</v>
      </c>
    </row>
    <row r="93" spans="1:14" x14ac:dyDescent="0.3">
      <c r="A93">
        <v>92</v>
      </c>
      <c r="B93" s="14" t="s">
        <v>2383</v>
      </c>
      <c r="C93" s="14" t="s">
        <v>234</v>
      </c>
      <c r="D93" s="14" t="s">
        <v>91</v>
      </c>
      <c r="E93" s="14" t="s">
        <v>27</v>
      </c>
      <c r="F93" s="15">
        <v>45296</v>
      </c>
      <c r="G93" s="14" t="s">
        <v>2847</v>
      </c>
      <c r="H93" t="s">
        <v>3523</v>
      </c>
      <c r="I93" s="15"/>
      <c r="J93" s="14"/>
      <c r="K93" s="15"/>
      <c r="M93" s="14"/>
      <c r="N93">
        <v>155</v>
      </c>
    </row>
    <row r="94" spans="1:14" x14ac:dyDescent="0.3">
      <c r="A94">
        <v>93</v>
      </c>
      <c r="B94" s="14" t="s">
        <v>2360</v>
      </c>
      <c r="C94" s="14" t="s">
        <v>2127</v>
      </c>
      <c r="D94" s="14" t="s">
        <v>91</v>
      </c>
      <c r="E94" s="14" t="s">
        <v>27</v>
      </c>
      <c r="F94" s="15">
        <v>45294</v>
      </c>
      <c r="G94" s="14" t="s">
        <v>2847</v>
      </c>
      <c r="H94" t="s">
        <v>3523</v>
      </c>
      <c r="I94" s="15"/>
      <c r="J94" s="14"/>
      <c r="K94" s="15"/>
      <c r="M94" s="14"/>
      <c r="N94">
        <v>157</v>
      </c>
    </row>
    <row r="95" spans="1:14" x14ac:dyDescent="0.3">
      <c r="A95">
        <v>94</v>
      </c>
      <c r="B95" s="14" t="s">
        <v>2261</v>
      </c>
      <c r="C95" s="14" t="s">
        <v>155</v>
      </c>
      <c r="D95" s="14" t="s">
        <v>91</v>
      </c>
      <c r="E95" s="14" t="s">
        <v>27</v>
      </c>
      <c r="F95" s="15">
        <v>45261</v>
      </c>
      <c r="G95" s="14" t="s">
        <v>2847</v>
      </c>
      <c r="H95" t="s">
        <v>3523</v>
      </c>
      <c r="I95" s="15"/>
      <c r="J95" s="14"/>
      <c r="K95" s="15"/>
      <c r="M95" s="14"/>
      <c r="N95">
        <v>190</v>
      </c>
    </row>
    <row r="96" spans="1:14" x14ac:dyDescent="0.3">
      <c r="A96">
        <v>95</v>
      </c>
      <c r="B96" s="14" t="s">
        <v>2323</v>
      </c>
      <c r="C96" s="14" t="s">
        <v>201</v>
      </c>
      <c r="D96" s="14" t="s">
        <v>91</v>
      </c>
      <c r="E96" s="14" t="s">
        <v>27</v>
      </c>
      <c r="F96" s="15">
        <v>45261</v>
      </c>
      <c r="G96" s="14" t="s">
        <v>2847</v>
      </c>
      <c r="H96" t="s">
        <v>3523</v>
      </c>
      <c r="I96" s="15"/>
      <c r="J96" s="14"/>
      <c r="K96" s="15"/>
      <c r="M96" s="14"/>
      <c r="N96">
        <v>190</v>
      </c>
    </row>
    <row r="97" spans="1:15" x14ac:dyDescent="0.3">
      <c r="A97">
        <v>96</v>
      </c>
      <c r="B97" s="14" t="s">
        <v>2294</v>
      </c>
      <c r="C97" s="14" t="s">
        <v>2108</v>
      </c>
      <c r="D97" s="14" t="s">
        <v>91</v>
      </c>
      <c r="E97" s="14" t="s">
        <v>27</v>
      </c>
      <c r="F97" s="15">
        <v>45261</v>
      </c>
      <c r="G97" s="14" t="s">
        <v>2847</v>
      </c>
      <c r="H97" t="s">
        <v>3523</v>
      </c>
      <c r="I97" s="15"/>
      <c r="J97" s="14"/>
      <c r="K97" s="15"/>
      <c r="M97" s="14"/>
      <c r="N97">
        <v>190</v>
      </c>
    </row>
    <row r="98" spans="1:15" x14ac:dyDescent="0.3">
      <c r="A98">
        <v>97</v>
      </c>
      <c r="B98" s="14" t="s">
        <v>2284</v>
      </c>
      <c r="C98" s="14" t="s">
        <v>174</v>
      </c>
      <c r="D98" s="14" t="s">
        <v>91</v>
      </c>
      <c r="E98" s="14" t="s">
        <v>27</v>
      </c>
      <c r="F98" s="15">
        <v>45261</v>
      </c>
      <c r="G98" s="14" t="s">
        <v>2847</v>
      </c>
      <c r="H98" t="s">
        <v>3523</v>
      </c>
      <c r="I98" s="15"/>
      <c r="J98" s="14"/>
      <c r="K98" s="15"/>
      <c r="M98" s="14"/>
      <c r="N98">
        <v>190</v>
      </c>
    </row>
    <row r="99" spans="1:15" x14ac:dyDescent="0.3">
      <c r="A99">
        <v>98</v>
      </c>
      <c r="B99" s="14" t="s">
        <v>2289</v>
      </c>
      <c r="C99" s="14" t="s">
        <v>2105</v>
      </c>
      <c r="D99" s="14" t="s">
        <v>91</v>
      </c>
      <c r="E99" s="14" t="s">
        <v>27</v>
      </c>
      <c r="F99" s="15">
        <v>45261</v>
      </c>
      <c r="G99" s="14" t="s">
        <v>2847</v>
      </c>
      <c r="H99" t="s">
        <v>3523</v>
      </c>
      <c r="I99" s="15"/>
      <c r="J99" s="14"/>
      <c r="K99" s="15"/>
      <c r="M99" s="14"/>
      <c r="N99">
        <v>190</v>
      </c>
    </row>
    <row r="100" spans="1:15" x14ac:dyDescent="0.3">
      <c r="A100">
        <v>99</v>
      </c>
      <c r="B100" s="14" t="s">
        <v>2245</v>
      </c>
      <c r="C100" s="14" t="s">
        <v>2094</v>
      </c>
      <c r="D100" s="14" t="s">
        <v>91</v>
      </c>
      <c r="E100" s="14" t="s">
        <v>27</v>
      </c>
      <c r="F100" s="15">
        <v>45261</v>
      </c>
      <c r="G100" s="14" t="s">
        <v>2848</v>
      </c>
      <c r="H100" t="s">
        <v>3523</v>
      </c>
      <c r="I100" s="15"/>
      <c r="J100" s="14"/>
      <c r="K100" s="15"/>
      <c r="M100" s="14"/>
      <c r="N100">
        <v>190</v>
      </c>
    </row>
    <row r="101" spans="1:15" x14ac:dyDescent="0.3">
      <c r="A101">
        <v>100</v>
      </c>
      <c r="B101" s="14" t="s">
        <v>2248</v>
      </c>
      <c r="C101" s="14" t="s">
        <v>2096</v>
      </c>
      <c r="D101" s="14" t="s">
        <v>91</v>
      </c>
      <c r="E101" s="14" t="s">
        <v>27</v>
      </c>
      <c r="F101" s="15">
        <v>45261</v>
      </c>
      <c r="G101" s="14" t="s">
        <v>2848</v>
      </c>
      <c r="H101" t="s">
        <v>3523</v>
      </c>
      <c r="I101" s="15"/>
      <c r="J101" s="14"/>
      <c r="K101" s="15"/>
      <c r="M101" s="14"/>
      <c r="N101">
        <v>190</v>
      </c>
    </row>
    <row r="102" spans="1:15" x14ac:dyDescent="0.3">
      <c r="A102">
        <v>101</v>
      </c>
      <c r="B102" s="14" t="s">
        <v>2288</v>
      </c>
      <c r="C102" s="14" t="s">
        <v>176</v>
      </c>
      <c r="D102" s="14" t="s">
        <v>91</v>
      </c>
      <c r="E102" s="14" t="s">
        <v>27</v>
      </c>
      <c r="F102" s="15">
        <v>45261</v>
      </c>
      <c r="G102" s="14" t="s">
        <v>2847</v>
      </c>
      <c r="H102" t="s">
        <v>3523</v>
      </c>
      <c r="I102" s="15"/>
      <c r="J102" s="14"/>
      <c r="K102" s="15"/>
      <c r="M102" s="14"/>
      <c r="N102">
        <v>190</v>
      </c>
    </row>
    <row r="103" spans="1:15" x14ac:dyDescent="0.3">
      <c r="A103">
        <v>102</v>
      </c>
      <c r="B103" s="14" t="s">
        <v>2374</v>
      </c>
      <c r="C103" s="14" t="s">
        <v>229</v>
      </c>
      <c r="D103" s="14" t="s">
        <v>91</v>
      </c>
      <c r="E103" s="14" t="s">
        <v>27</v>
      </c>
      <c r="F103" s="15">
        <v>45296</v>
      </c>
      <c r="G103" s="14" t="s">
        <v>2847</v>
      </c>
      <c r="H103" t="s">
        <v>3501</v>
      </c>
      <c r="I103" s="15">
        <v>45358</v>
      </c>
      <c r="J103" s="14" t="s">
        <v>3521</v>
      </c>
      <c r="K103" s="15"/>
      <c r="M103" s="14" t="s">
        <v>3477</v>
      </c>
      <c r="N103">
        <v>62</v>
      </c>
    </row>
    <row r="104" spans="1:15" x14ac:dyDescent="0.3">
      <c r="A104">
        <v>103</v>
      </c>
      <c r="B104" s="14" t="s">
        <v>2242</v>
      </c>
      <c r="C104" s="14" t="s">
        <v>143</v>
      </c>
      <c r="D104" s="14" t="s">
        <v>91</v>
      </c>
      <c r="E104" s="14" t="s">
        <v>27</v>
      </c>
      <c r="F104" s="15">
        <v>45292</v>
      </c>
      <c r="G104" s="14" t="s">
        <v>2849</v>
      </c>
      <c r="H104" t="s">
        <v>3500</v>
      </c>
      <c r="I104" s="15">
        <v>45292</v>
      </c>
      <c r="J104" s="14" t="s">
        <v>3521</v>
      </c>
      <c r="K104" s="15"/>
      <c r="M104" s="14" t="s">
        <v>3477</v>
      </c>
      <c r="N104">
        <v>0</v>
      </c>
    </row>
    <row r="105" spans="1:15" x14ac:dyDescent="0.3">
      <c r="A105">
        <v>104</v>
      </c>
      <c r="B105" s="14" t="s">
        <v>2244</v>
      </c>
      <c r="C105" s="14" t="s">
        <v>145</v>
      </c>
      <c r="D105" s="14" t="s">
        <v>91</v>
      </c>
      <c r="E105" s="14" t="s">
        <v>27</v>
      </c>
      <c r="F105" s="15">
        <v>45292</v>
      </c>
      <c r="G105" s="14" t="s">
        <v>2848</v>
      </c>
      <c r="H105" t="s">
        <v>3500</v>
      </c>
      <c r="I105" s="15">
        <v>45294</v>
      </c>
      <c r="J105" s="14" t="s">
        <v>3521</v>
      </c>
      <c r="K105" s="15"/>
      <c r="M105" s="14" t="s">
        <v>3477</v>
      </c>
      <c r="N105">
        <v>2</v>
      </c>
    </row>
    <row r="106" spans="1:15" x14ac:dyDescent="0.3">
      <c r="A106">
        <v>105</v>
      </c>
      <c r="B106" s="14" t="s">
        <v>2246</v>
      </c>
      <c r="C106" s="14" t="s">
        <v>2095</v>
      </c>
      <c r="D106" s="14" t="s">
        <v>91</v>
      </c>
      <c r="E106" s="14" t="s">
        <v>27</v>
      </c>
      <c r="F106" s="15">
        <v>45292</v>
      </c>
      <c r="G106" s="14" t="s">
        <v>2848</v>
      </c>
      <c r="H106" t="s">
        <v>3524</v>
      </c>
      <c r="I106" s="15"/>
      <c r="J106" s="14" t="s">
        <v>3521</v>
      </c>
      <c r="K106" s="15"/>
      <c r="M106" s="14"/>
    </row>
    <row r="107" spans="1:15" x14ac:dyDescent="0.3">
      <c r="A107">
        <v>106</v>
      </c>
      <c r="B107" s="14" t="s">
        <v>2249</v>
      </c>
      <c r="C107" s="14" t="s">
        <v>147</v>
      </c>
      <c r="D107" s="14" t="s">
        <v>91</v>
      </c>
      <c r="E107" s="14" t="s">
        <v>27</v>
      </c>
      <c r="F107" s="15">
        <v>45292</v>
      </c>
      <c r="G107" s="14" t="s">
        <v>2848</v>
      </c>
      <c r="H107" t="s">
        <v>3524</v>
      </c>
      <c r="I107" s="15"/>
      <c r="J107" s="14" t="s">
        <v>3521</v>
      </c>
      <c r="K107" s="15"/>
      <c r="M107" s="14"/>
    </row>
    <row r="108" spans="1:15" x14ac:dyDescent="0.3">
      <c r="A108">
        <v>107</v>
      </c>
      <c r="B108" s="14" t="s">
        <v>2455</v>
      </c>
      <c r="C108" s="14" t="s">
        <v>264</v>
      </c>
      <c r="D108" s="14" t="s">
        <v>92</v>
      </c>
      <c r="E108" s="14" t="s">
        <v>28</v>
      </c>
      <c r="F108" s="15">
        <v>45321</v>
      </c>
      <c r="G108" s="14" t="s">
        <v>2847</v>
      </c>
      <c r="H108" t="s">
        <v>3501</v>
      </c>
      <c r="I108" s="15">
        <v>45321</v>
      </c>
      <c r="J108" s="14"/>
      <c r="K108" s="15"/>
      <c r="L108" t="s">
        <v>2851</v>
      </c>
      <c r="M108" s="14"/>
      <c r="N108">
        <v>130</v>
      </c>
      <c r="O108" t="s">
        <v>2850</v>
      </c>
    </row>
    <row r="109" spans="1:15" x14ac:dyDescent="0.3">
      <c r="A109">
        <v>108</v>
      </c>
      <c r="B109" s="14" t="s">
        <v>2446</v>
      </c>
      <c r="C109" s="14" t="s">
        <v>2175</v>
      </c>
      <c r="D109" s="14" t="s">
        <v>92</v>
      </c>
      <c r="E109" s="14" t="s">
        <v>28</v>
      </c>
      <c r="F109" s="15">
        <v>45319</v>
      </c>
      <c r="G109" s="14" t="s">
        <v>2847</v>
      </c>
      <c r="H109" t="s">
        <v>3523</v>
      </c>
      <c r="I109" s="15"/>
      <c r="J109" s="14"/>
      <c r="K109" s="15"/>
      <c r="M109" s="14"/>
      <c r="N109">
        <v>132</v>
      </c>
    </row>
    <row r="110" spans="1:15" x14ac:dyDescent="0.3">
      <c r="A110">
        <v>109</v>
      </c>
      <c r="B110" s="14" t="s">
        <v>2362</v>
      </c>
      <c r="C110" s="14" t="s">
        <v>2128</v>
      </c>
      <c r="D110" s="14" t="s">
        <v>92</v>
      </c>
      <c r="E110" s="14" t="s">
        <v>28</v>
      </c>
      <c r="F110" s="15">
        <v>45294</v>
      </c>
      <c r="G110" s="14" t="s">
        <v>2847</v>
      </c>
      <c r="H110" t="s">
        <v>3523</v>
      </c>
      <c r="I110" s="15"/>
      <c r="J110" s="14"/>
      <c r="K110" s="15"/>
      <c r="M110" s="14"/>
      <c r="N110">
        <v>157</v>
      </c>
    </row>
    <row r="111" spans="1:15" x14ac:dyDescent="0.3">
      <c r="A111">
        <v>110</v>
      </c>
      <c r="B111" s="14" t="s">
        <v>2426</v>
      </c>
      <c r="C111" s="14" t="s">
        <v>252</v>
      </c>
      <c r="D111" s="14" t="s">
        <v>92</v>
      </c>
      <c r="E111" s="14" t="s">
        <v>28</v>
      </c>
      <c r="F111" s="15">
        <v>45311</v>
      </c>
      <c r="G111" s="14" t="s">
        <v>2846</v>
      </c>
      <c r="H111" t="s">
        <v>3500</v>
      </c>
      <c r="I111" s="15">
        <v>45315</v>
      </c>
      <c r="J111" s="14" t="s">
        <v>3521</v>
      </c>
      <c r="K111" s="15"/>
      <c r="M111" s="14" t="s">
        <v>3477</v>
      </c>
      <c r="N111">
        <v>4</v>
      </c>
    </row>
    <row r="112" spans="1:15" x14ac:dyDescent="0.3">
      <c r="A112">
        <v>111</v>
      </c>
      <c r="B112" s="14" t="s">
        <v>2223</v>
      </c>
      <c r="C112" s="14" t="s">
        <v>134</v>
      </c>
      <c r="D112" s="14" t="s">
        <v>92</v>
      </c>
      <c r="E112" s="14" t="s">
        <v>28</v>
      </c>
      <c r="F112" s="15">
        <v>45292</v>
      </c>
      <c r="G112" s="14" t="s">
        <v>2847</v>
      </c>
      <c r="H112" t="s">
        <v>3524</v>
      </c>
      <c r="I112" s="15"/>
      <c r="J112" s="14" t="s">
        <v>3521</v>
      </c>
      <c r="K112" s="15"/>
      <c r="M112" s="14"/>
    </row>
    <row r="113" spans="1:14" x14ac:dyDescent="0.3">
      <c r="A113">
        <v>112</v>
      </c>
      <c r="B113" s="14" t="s">
        <v>2530</v>
      </c>
      <c r="C113" s="14" t="s">
        <v>325</v>
      </c>
      <c r="D113" s="14" t="s">
        <v>93</v>
      </c>
      <c r="E113" s="14" t="s">
        <v>29</v>
      </c>
      <c r="F113" s="15">
        <v>45357</v>
      </c>
      <c r="G113" s="14" t="s">
        <v>2846</v>
      </c>
      <c r="H113" t="s">
        <v>3523</v>
      </c>
      <c r="I113" s="15"/>
      <c r="J113" s="14"/>
      <c r="K113" s="15"/>
      <c r="M113" s="14"/>
      <c r="N113">
        <v>94</v>
      </c>
    </row>
    <row r="114" spans="1:14" x14ac:dyDescent="0.3">
      <c r="A114">
        <v>113</v>
      </c>
      <c r="B114" s="14" t="s">
        <v>2498</v>
      </c>
      <c r="C114" s="14" t="s">
        <v>305</v>
      </c>
      <c r="D114" s="14" t="s">
        <v>93</v>
      </c>
      <c r="E114" s="14" t="s">
        <v>29</v>
      </c>
      <c r="F114" s="15">
        <v>45348</v>
      </c>
      <c r="G114" s="14" t="s">
        <v>3539</v>
      </c>
      <c r="H114" t="s">
        <v>3523</v>
      </c>
      <c r="I114" s="15"/>
      <c r="J114" s="14"/>
      <c r="K114" s="15"/>
      <c r="M114" s="14"/>
      <c r="N114">
        <v>103</v>
      </c>
    </row>
    <row r="115" spans="1:14" x14ac:dyDescent="0.3">
      <c r="A115">
        <v>114</v>
      </c>
      <c r="B115" s="14" t="s">
        <v>2490</v>
      </c>
      <c r="C115" s="14" t="s">
        <v>298</v>
      </c>
      <c r="D115" s="14" t="s">
        <v>93</v>
      </c>
      <c r="E115" s="14" t="s">
        <v>29</v>
      </c>
      <c r="F115" s="15">
        <v>45345</v>
      </c>
      <c r="G115" s="14" t="s">
        <v>2846</v>
      </c>
      <c r="H115" t="s">
        <v>3501</v>
      </c>
      <c r="I115" s="15">
        <v>45358</v>
      </c>
      <c r="J115" s="14" t="s">
        <v>3521</v>
      </c>
      <c r="K115" s="15"/>
      <c r="M115" s="14" t="s">
        <v>3477</v>
      </c>
      <c r="N115">
        <v>13</v>
      </c>
    </row>
    <row r="116" spans="1:14" x14ac:dyDescent="0.3">
      <c r="A116">
        <v>115</v>
      </c>
      <c r="B116" s="14" t="s">
        <v>2481</v>
      </c>
      <c r="C116" s="14" t="s">
        <v>289</v>
      </c>
      <c r="D116" s="14" t="s">
        <v>93</v>
      </c>
      <c r="E116" s="14" t="s">
        <v>29</v>
      </c>
      <c r="F116" s="15">
        <v>45343</v>
      </c>
      <c r="G116" s="14" t="s">
        <v>2846</v>
      </c>
      <c r="H116" t="s">
        <v>3501</v>
      </c>
      <c r="I116" s="15">
        <v>45358</v>
      </c>
      <c r="J116" s="14" t="s">
        <v>3521</v>
      </c>
      <c r="K116" s="15"/>
      <c r="M116" s="14" t="s">
        <v>3477</v>
      </c>
      <c r="N116">
        <v>15</v>
      </c>
    </row>
    <row r="117" spans="1:14" x14ac:dyDescent="0.3">
      <c r="A117">
        <v>116</v>
      </c>
      <c r="B117" s="14" t="s">
        <v>2229</v>
      </c>
      <c r="C117" s="14" t="s">
        <v>133</v>
      </c>
      <c r="D117" s="14" t="s">
        <v>93</v>
      </c>
      <c r="E117" s="14" t="s">
        <v>29</v>
      </c>
      <c r="F117" s="15">
        <v>45292</v>
      </c>
      <c r="G117" s="14" t="s">
        <v>2845</v>
      </c>
      <c r="H117" t="s">
        <v>3524</v>
      </c>
      <c r="I117" s="15"/>
      <c r="J117" s="14" t="s">
        <v>3521</v>
      </c>
      <c r="K117" s="15"/>
      <c r="M117" s="14"/>
    </row>
    <row r="118" spans="1:14" x14ac:dyDescent="0.3">
      <c r="A118">
        <v>117</v>
      </c>
      <c r="B118" s="14" t="s">
        <v>2513</v>
      </c>
      <c r="C118" s="14" t="s">
        <v>314</v>
      </c>
      <c r="D118" s="14" t="s">
        <v>94</v>
      </c>
      <c r="E118" s="14" t="s">
        <v>30</v>
      </c>
      <c r="F118" s="15">
        <v>45352</v>
      </c>
      <c r="G118" s="14" t="s">
        <v>3539</v>
      </c>
      <c r="H118" t="s">
        <v>3501</v>
      </c>
      <c r="I118" s="15">
        <v>45369</v>
      </c>
      <c r="J118" s="14"/>
      <c r="K118" s="15"/>
      <c r="M118" s="14"/>
      <c r="N118">
        <v>99</v>
      </c>
    </row>
    <row r="119" spans="1:14" x14ac:dyDescent="0.3">
      <c r="A119">
        <v>118</v>
      </c>
      <c r="B119" s="14" t="s">
        <v>2712</v>
      </c>
      <c r="C119" s="14" t="s">
        <v>296</v>
      </c>
      <c r="D119" s="14" t="s">
        <v>94</v>
      </c>
      <c r="E119" s="14" t="s">
        <v>30</v>
      </c>
      <c r="F119" s="15">
        <v>45404</v>
      </c>
      <c r="G119" s="14" t="s">
        <v>2848</v>
      </c>
      <c r="H119" t="s">
        <v>3500</v>
      </c>
      <c r="I119" s="15">
        <v>45414</v>
      </c>
      <c r="J119" s="14"/>
      <c r="K119" s="15"/>
      <c r="M119" s="14"/>
      <c r="N119">
        <v>47</v>
      </c>
    </row>
    <row r="120" spans="1:14" x14ac:dyDescent="0.3">
      <c r="A120">
        <v>119</v>
      </c>
      <c r="B120" s="14" t="s">
        <v>2732</v>
      </c>
      <c r="C120" s="14" t="s">
        <v>493</v>
      </c>
      <c r="D120" s="14" t="s">
        <v>94</v>
      </c>
      <c r="E120" s="14" t="s">
        <v>30</v>
      </c>
      <c r="F120" s="15">
        <v>45404</v>
      </c>
      <c r="G120" s="14" t="s">
        <v>2847</v>
      </c>
      <c r="H120" t="s">
        <v>3500</v>
      </c>
      <c r="I120" s="15">
        <v>45327</v>
      </c>
      <c r="J120" s="14"/>
      <c r="K120" s="15"/>
      <c r="M120" s="14"/>
      <c r="N120">
        <v>47</v>
      </c>
    </row>
    <row r="121" spans="1:14" x14ac:dyDescent="0.3">
      <c r="A121">
        <v>120</v>
      </c>
      <c r="B121" s="14" t="s">
        <v>2524</v>
      </c>
      <c r="C121" s="14" t="s">
        <v>2191</v>
      </c>
      <c r="D121" s="14" t="s">
        <v>94</v>
      </c>
      <c r="E121" s="14" t="s">
        <v>30</v>
      </c>
      <c r="F121" s="15">
        <v>45355</v>
      </c>
      <c r="G121" s="14" t="s">
        <v>3539</v>
      </c>
      <c r="H121" t="s">
        <v>3500</v>
      </c>
      <c r="I121" s="15">
        <v>45358</v>
      </c>
      <c r="J121" s="14"/>
      <c r="K121" s="15"/>
      <c r="M121" s="14"/>
      <c r="N121">
        <v>96</v>
      </c>
    </row>
    <row r="122" spans="1:14" x14ac:dyDescent="0.3">
      <c r="A122">
        <v>121</v>
      </c>
      <c r="B122" s="14" t="s">
        <v>2521</v>
      </c>
      <c r="C122" s="14" t="s">
        <v>318</v>
      </c>
      <c r="D122" s="14" t="s">
        <v>94</v>
      </c>
      <c r="E122" s="14" t="s">
        <v>30</v>
      </c>
      <c r="F122" s="15">
        <v>45354</v>
      </c>
      <c r="G122" s="14" t="s">
        <v>3539</v>
      </c>
      <c r="H122" t="s">
        <v>3500</v>
      </c>
      <c r="I122" s="15">
        <v>45358</v>
      </c>
      <c r="J122" s="14"/>
      <c r="K122" s="15"/>
      <c r="M122" s="14"/>
      <c r="N122">
        <v>97</v>
      </c>
    </row>
    <row r="123" spans="1:14" x14ac:dyDescent="0.3">
      <c r="A123">
        <v>122</v>
      </c>
      <c r="B123" s="14" t="s">
        <v>2511</v>
      </c>
      <c r="C123" s="14" t="s">
        <v>312</v>
      </c>
      <c r="D123" s="14" t="s">
        <v>94</v>
      </c>
      <c r="E123" s="14" t="s">
        <v>30</v>
      </c>
      <c r="F123" s="15">
        <v>45352</v>
      </c>
      <c r="G123" s="14" t="s">
        <v>3539</v>
      </c>
      <c r="H123" t="s">
        <v>3500</v>
      </c>
      <c r="I123" s="15">
        <v>45358</v>
      </c>
      <c r="J123" s="14"/>
      <c r="K123" s="15"/>
      <c r="M123" s="14"/>
      <c r="N123">
        <v>99</v>
      </c>
    </row>
    <row r="124" spans="1:14" x14ac:dyDescent="0.3">
      <c r="A124">
        <v>123</v>
      </c>
      <c r="B124" s="14" t="s">
        <v>2512</v>
      </c>
      <c r="C124" s="14" t="s">
        <v>313</v>
      </c>
      <c r="D124" s="14" t="s">
        <v>94</v>
      </c>
      <c r="E124" s="14" t="s">
        <v>30</v>
      </c>
      <c r="F124" s="15">
        <v>45352</v>
      </c>
      <c r="G124" s="14" t="s">
        <v>3539</v>
      </c>
      <c r="H124" t="s">
        <v>3500</v>
      </c>
      <c r="I124" s="15">
        <v>45358</v>
      </c>
      <c r="J124" s="14"/>
      <c r="K124" s="15"/>
      <c r="M124" s="14"/>
      <c r="N124">
        <v>99</v>
      </c>
    </row>
    <row r="125" spans="1:14" x14ac:dyDescent="0.3">
      <c r="A125">
        <v>124</v>
      </c>
      <c r="B125" s="14" t="s">
        <v>2509</v>
      </c>
      <c r="C125" s="14" t="s">
        <v>2188</v>
      </c>
      <c r="D125" s="14" t="s">
        <v>94</v>
      </c>
      <c r="E125" s="14" t="s">
        <v>30</v>
      </c>
      <c r="F125" s="15">
        <v>45351</v>
      </c>
      <c r="G125" s="14" t="s">
        <v>2848</v>
      </c>
      <c r="H125" t="s">
        <v>3500</v>
      </c>
      <c r="I125" s="15">
        <v>45358</v>
      </c>
      <c r="J125" s="14"/>
      <c r="K125" s="15"/>
      <c r="M125" s="14"/>
      <c r="N125">
        <v>100</v>
      </c>
    </row>
    <row r="126" spans="1:14" x14ac:dyDescent="0.3">
      <c r="A126">
        <v>125</v>
      </c>
      <c r="B126" s="14" t="s">
        <v>2474</v>
      </c>
      <c r="C126" s="14" t="s">
        <v>2181</v>
      </c>
      <c r="D126" s="14" t="s">
        <v>94</v>
      </c>
      <c r="E126" s="14" t="s">
        <v>30</v>
      </c>
      <c r="F126" s="15">
        <v>45342</v>
      </c>
      <c r="G126" s="14" t="s">
        <v>2845</v>
      </c>
      <c r="H126" t="s">
        <v>3500</v>
      </c>
      <c r="I126" s="15">
        <v>45343</v>
      </c>
      <c r="J126" s="14"/>
      <c r="K126" s="15"/>
      <c r="M126" s="14"/>
      <c r="N126">
        <v>109</v>
      </c>
    </row>
    <row r="127" spans="1:14" x14ac:dyDescent="0.3">
      <c r="A127">
        <v>126</v>
      </c>
      <c r="B127" s="14" t="s">
        <v>2334</v>
      </c>
      <c r="C127" s="14" t="s">
        <v>204</v>
      </c>
      <c r="D127" s="14" t="s">
        <v>94</v>
      </c>
      <c r="E127" s="14" t="s">
        <v>30</v>
      </c>
      <c r="F127" s="15">
        <v>45292</v>
      </c>
      <c r="G127" s="14" t="s">
        <v>2847</v>
      </c>
      <c r="H127" t="s">
        <v>3500</v>
      </c>
      <c r="I127" s="15">
        <v>45308</v>
      </c>
      <c r="J127" s="14"/>
      <c r="K127" s="15"/>
      <c r="M127" s="14"/>
      <c r="N127">
        <v>159</v>
      </c>
    </row>
    <row r="128" spans="1:14" x14ac:dyDescent="0.3">
      <c r="A128">
        <v>127</v>
      </c>
      <c r="B128" s="14" t="s">
        <v>2266</v>
      </c>
      <c r="C128" s="14" t="s">
        <v>158</v>
      </c>
      <c r="D128" s="14" t="s">
        <v>94</v>
      </c>
      <c r="E128" s="14" t="s">
        <v>30</v>
      </c>
      <c r="F128" s="15">
        <v>45292</v>
      </c>
      <c r="G128" s="14" t="s">
        <v>2847</v>
      </c>
      <c r="H128" t="s">
        <v>3500</v>
      </c>
      <c r="I128" s="15">
        <v>45292</v>
      </c>
      <c r="J128" s="14"/>
      <c r="K128" s="15"/>
      <c r="M128" s="14"/>
      <c r="N128">
        <v>159</v>
      </c>
    </row>
    <row r="129" spans="1:14" x14ac:dyDescent="0.3">
      <c r="A129">
        <v>128</v>
      </c>
      <c r="B129" s="14" t="s">
        <v>2335</v>
      </c>
      <c r="C129" s="14" t="s">
        <v>205</v>
      </c>
      <c r="D129" s="14" t="s">
        <v>94</v>
      </c>
      <c r="E129" s="14" t="s">
        <v>30</v>
      </c>
      <c r="F129" s="15">
        <v>45292</v>
      </c>
      <c r="G129" s="14" t="s">
        <v>2847</v>
      </c>
      <c r="H129" t="s">
        <v>3500</v>
      </c>
      <c r="I129" s="15">
        <v>45308</v>
      </c>
      <c r="J129" s="14"/>
      <c r="K129" s="15"/>
      <c r="M129" s="14"/>
      <c r="N129">
        <v>159</v>
      </c>
    </row>
    <row r="130" spans="1:14" x14ac:dyDescent="0.3">
      <c r="A130">
        <v>129</v>
      </c>
      <c r="B130" s="14" t="s">
        <v>2347</v>
      </c>
      <c r="C130" s="14" t="s">
        <v>216</v>
      </c>
      <c r="D130" s="14" t="s">
        <v>94</v>
      </c>
      <c r="E130" s="14" t="s">
        <v>30</v>
      </c>
      <c r="F130" s="15">
        <v>45292</v>
      </c>
      <c r="G130" s="14" t="s">
        <v>2847</v>
      </c>
      <c r="H130" t="s">
        <v>3500</v>
      </c>
      <c r="I130" s="15">
        <v>45298</v>
      </c>
      <c r="J130" s="14"/>
      <c r="K130" s="15"/>
      <c r="M130" s="14"/>
      <c r="N130">
        <v>159</v>
      </c>
    </row>
    <row r="131" spans="1:14" x14ac:dyDescent="0.3">
      <c r="A131">
        <v>130</v>
      </c>
      <c r="B131" s="14" t="s">
        <v>2743</v>
      </c>
      <c r="C131" s="14" t="s">
        <v>504</v>
      </c>
      <c r="D131" s="14" t="s">
        <v>94</v>
      </c>
      <c r="E131" s="14" t="s">
        <v>30</v>
      </c>
      <c r="F131" s="15">
        <v>45406</v>
      </c>
      <c r="G131" s="14" t="s">
        <v>2847</v>
      </c>
      <c r="H131" t="s">
        <v>3524</v>
      </c>
      <c r="I131" s="15"/>
      <c r="J131" s="14"/>
      <c r="K131" s="15"/>
      <c r="M131" s="14"/>
      <c r="N131">
        <v>45</v>
      </c>
    </row>
    <row r="132" spans="1:14" x14ac:dyDescent="0.3">
      <c r="A132">
        <v>131</v>
      </c>
      <c r="B132" s="14" t="s">
        <v>2696</v>
      </c>
      <c r="C132" s="14" t="s">
        <v>461</v>
      </c>
      <c r="D132" s="14" t="s">
        <v>94</v>
      </c>
      <c r="E132" s="14" t="s">
        <v>30</v>
      </c>
      <c r="F132" s="15">
        <v>45404</v>
      </c>
      <c r="G132" s="14" t="s">
        <v>2847</v>
      </c>
      <c r="H132" t="s">
        <v>3524</v>
      </c>
      <c r="I132" s="15"/>
      <c r="J132" s="14"/>
      <c r="K132" s="15"/>
      <c r="M132" s="14"/>
      <c r="N132">
        <v>47</v>
      </c>
    </row>
    <row r="133" spans="1:14" x14ac:dyDescent="0.3">
      <c r="A133">
        <v>132</v>
      </c>
      <c r="B133" s="14" t="s">
        <v>2731</v>
      </c>
      <c r="C133" s="14" t="s">
        <v>492</v>
      </c>
      <c r="D133" s="14" t="s">
        <v>94</v>
      </c>
      <c r="E133" s="14" t="s">
        <v>30</v>
      </c>
      <c r="F133" s="15">
        <v>45404</v>
      </c>
      <c r="G133" s="14" t="s">
        <v>2847</v>
      </c>
      <c r="H133" t="s">
        <v>3524</v>
      </c>
      <c r="I133" s="15"/>
      <c r="J133" s="14"/>
      <c r="K133" s="15"/>
      <c r="M133" s="14"/>
      <c r="N133">
        <v>47</v>
      </c>
    </row>
    <row r="134" spans="1:14" x14ac:dyDescent="0.3">
      <c r="A134">
        <v>133</v>
      </c>
      <c r="B134" s="14" t="s">
        <v>2707</v>
      </c>
      <c r="C134" s="14" t="s">
        <v>470</v>
      </c>
      <c r="D134" s="14" t="s">
        <v>94</v>
      </c>
      <c r="E134" s="14" t="s">
        <v>30</v>
      </c>
      <c r="F134" s="15">
        <v>45403</v>
      </c>
      <c r="G134" s="14" t="s">
        <v>3539</v>
      </c>
      <c r="H134" t="s">
        <v>3524</v>
      </c>
      <c r="I134" s="15"/>
      <c r="J134" s="14"/>
      <c r="K134" s="15"/>
      <c r="M134" s="14"/>
      <c r="N134">
        <v>48</v>
      </c>
    </row>
    <row r="135" spans="1:14" x14ac:dyDescent="0.3">
      <c r="A135">
        <v>134</v>
      </c>
      <c r="B135" s="14" t="s">
        <v>2698</v>
      </c>
      <c r="C135" s="14" t="s">
        <v>441</v>
      </c>
      <c r="D135" s="14" t="s">
        <v>94</v>
      </c>
      <c r="E135" s="14" t="s">
        <v>30</v>
      </c>
      <c r="F135" s="15">
        <v>45399</v>
      </c>
      <c r="G135" s="14" t="s">
        <v>3539</v>
      </c>
      <c r="H135" t="s">
        <v>3524</v>
      </c>
      <c r="I135" s="15"/>
      <c r="J135" s="14"/>
      <c r="K135" s="15"/>
      <c r="M135" s="14"/>
      <c r="N135">
        <v>52</v>
      </c>
    </row>
    <row r="136" spans="1:14" x14ac:dyDescent="0.3">
      <c r="A136">
        <v>135</v>
      </c>
      <c r="B136" s="14" t="s">
        <v>2234</v>
      </c>
      <c r="C136" s="14" t="s">
        <v>2092</v>
      </c>
      <c r="D136" s="14" t="s">
        <v>94</v>
      </c>
      <c r="E136" s="14" t="s">
        <v>30</v>
      </c>
      <c r="F136" s="15">
        <v>45261</v>
      </c>
      <c r="G136" s="14" t="s">
        <v>2848</v>
      </c>
      <c r="H136" t="s">
        <v>3524</v>
      </c>
      <c r="I136" s="15"/>
      <c r="J136" s="14"/>
      <c r="K136" s="15"/>
      <c r="M136" s="14"/>
      <c r="N136">
        <v>190</v>
      </c>
    </row>
    <row r="137" spans="1:14" x14ac:dyDescent="0.3">
      <c r="A137">
        <v>136</v>
      </c>
      <c r="B137" s="14" t="s">
        <v>2276</v>
      </c>
      <c r="C137" s="14" t="s">
        <v>167</v>
      </c>
      <c r="D137" s="14" t="s">
        <v>94</v>
      </c>
      <c r="E137" s="14" t="s">
        <v>30</v>
      </c>
      <c r="F137" s="15">
        <v>45261</v>
      </c>
      <c r="G137" s="14" t="s">
        <v>2847</v>
      </c>
      <c r="H137" t="s">
        <v>3524</v>
      </c>
      <c r="I137" s="15"/>
      <c r="J137" s="14"/>
      <c r="K137" s="15"/>
      <c r="M137" s="14"/>
      <c r="N137">
        <v>190</v>
      </c>
    </row>
    <row r="138" spans="1:14" x14ac:dyDescent="0.3">
      <c r="A138">
        <v>137</v>
      </c>
      <c r="B138" s="14" t="s">
        <v>2826</v>
      </c>
      <c r="C138" s="14" t="s">
        <v>579</v>
      </c>
      <c r="D138" s="14" t="s">
        <v>94</v>
      </c>
      <c r="E138" s="14" t="s">
        <v>30</v>
      </c>
      <c r="F138" s="15">
        <v>45416</v>
      </c>
      <c r="G138" s="14" t="s">
        <v>2848</v>
      </c>
      <c r="H138" t="s">
        <v>3523</v>
      </c>
      <c r="I138" s="15"/>
      <c r="J138" s="14"/>
      <c r="K138" s="15"/>
      <c r="M138" s="14"/>
      <c r="N138">
        <v>35</v>
      </c>
    </row>
    <row r="139" spans="1:14" x14ac:dyDescent="0.3">
      <c r="A139">
        <v>138</v>
      </c>
      <c r="B139" s="14" t="s">
        <v>2839</v>
      </c>
      <c r="C139" s="14" t="s">
        <v>590</v>
      </c>
      <c r="D139" s="14" t="s">
        <v>94</v>
      </c>
      <c r="E139" s="14" t="s">
        <v>30</v>
      </c>
      <c r="F139" s="15">
        <v>45416</v>
      </c>
      <c r="G139" s="14" t="s">
        <v>2848</v>
      </c>
      <c r="H139" t="s">
        <v>3523</v>
      </c>
      <c r="I139" s="15"/>
      <c r="J139" s="14"/>
      <c r="K139" s="15"/>
      <c r="M139" s="14"/>
      <c r="N139">
        <v>35</v>
      </c>
    </row>
    <row r="140" spans="1:14" x14ac:dyDescent="0.3">
      <c r="A140">
        <v>139</v>
      </c>
      <c r="B140" s="14" t="s">
        <v>2824</v>
      </c>
      <c r="C140" s="14" t="s">
        <v>577</v>
      </c>
      <c r="D140" s="14" t="s">
        <v>94</v>
      </c>
      <c r="E140" s="14" t="s">
        <v>30</v>
      </c>
      <c r="F140" s="15">
        <v>45414</v>
      </c>
      <c r="G140" s="14" t="s">
        <v>2849</v>
      </c>
      <c r="H140" t="s">
        <v>3523</v>
      </c>
      <c r="I140" s="15"/>
      <c r="J140" s="14"/>
      <c r="K140" s="15"/>
      <c r="M140" s="14"/>
      <c r="N140">
        <v>37</v>
      </c>
    </row>
    <row r="141" spans="1:14" x14ac:dyDescent="0.3">
      <c r="A141">
        <v>140</v>
      </c>
      <c r="B141" s="14" t="s">
        <v>2838</v>
      </c>
      <c r="C141" s="14" t="s">
        <v>474</v>
      </c>
      <c r="D141" s="14" t="s">
        <v>94</v>
      </c>
      <c r="E141" s="14" t="s">
        <v>30</v>
      </c>
      <c r="F141" s="15">
        <v>45413</v>
      </c>
      <c r="G141" s="14" t="s">
        <v>3539</v>
      </c>
      <c r="H141" t="s">
        <v>3523</v>
      </c>
      <c r="I141" s="15"/>
      <c r="J141" s="14"/>
      <c r="K141" s="15"/>
      <c r="M141" s="14"/>
      <c r="N141">
        <v>38</v>
      </c>
    </row>
    <row r="142" spans="1:14" x14ac:dyDescent="0.3">
      <c r="A142">
        <v>141</v>
      </c>
      <c r="B142" s="14" t="s">
        <v>2792</v>
      </c>
      <c r="C142" s="14" t="s">
        <v>546</v>
      </c>
      <c r="D142" s="14" t="s">
        <v>94</v>
      </c>
      <c r="E142" s="14" t="s">
        <v>30</v>
      </c>
      <c r="F142" s="15">
        <v>45413</v>
      </c>
      <c r="G142" s="14" t="s">
        <v>2847</v>
      </c>
      <c r="H142" t="s">
        <v>3523</v>
      </c>
      <c r="I142" s="15"/>
      <c r="J142" s="14"/>
      <c r="K142" s="15"/>
      <c r="M142" s="14"/>
      <c r="N142">
        <v>38</v>
      </c>
    </row>
    <row r="143" spans="1:14" x14ac:dyDescent="0.3">
      <c r="A143">
        <v>142</v>
      </c>
      <c r="B143" s="14" t="s">
        <v>2797</v>
      </c>
      <c r="C143" s="14" t="s">
        <v>551</v>
      </c>
      <c r="D143" s="14" t="s">
        <v>94</v>
      </c>
      <c r="E143" s="14" t="s">
        <v>30</v>
      </c>
      <c r="F143" s="15">
        <v>45412</v>
      </c>
      <c r="G143" s="14" t="s">
        <v>2848</v>
      </c>
      <c r="H143" t="s">
        <v>3523</v>
      </c>
      <c r="I143" s="15"/>
      <c r="J143" s="14"/>
      <c r="K143" s="15"/>
      <c r="M143" s="14"/>
      <c r="N143">
        <v>39</v>
      </c>
    </row>
    <row r="144" spans="1:14" x14ac:dyDescent="0.3">
      <c r="A144">
        <v>143</v>
      </c>
      <c r="B144" s="14" t="s">
        <v>2719</v>
      </c>
      <c r="C144" s="14" t="s">
        <v>191</v>
      </c>
      <c r="D144" s="14" t="s">
        <v>94</v>
      </c>
      <c r="E144" s="14" t="s">
        <v>30</v>
      </c>
      <c r="F144" s="15">
        <v>45407</v>
      </c>
      <c r="G144" s="14" t="s">
        <v>2848</v>
      </c>
      <c r="H144" t="s">
        <v>3523</v>
      </c>
      <c r="I144" s="15"/>
      <c r="J144" s="14"/>
      <c r="K144" s="15"/>
      <c r="M144" s="14"/>
      <c r="N144">
        <v>44</v>
      </c>
    </row>
    <row r="145" spans="1:14" x14ac:dyDescent="0.3">
      <c r="A145">
        <v>144</v>
      </c>
      <c r="B145" s="14" t="s">
        <v>2755</v>
      </c>
      <c r="C145" s="14" t="s">
        <v>513</v>
      </c>
      <c r="D145" s="14" t="s">
        <v>94</v>
      </c>
      <c r="E145" s="14" t="s">
        <v>30</v>
      </c>
      <c r="F145" s="15">
        <v>45407</v>
      </c>
      <c r="G145" s="14" t="s">
        <v>2847</v>
      </c>
      <c r="H145" t="s">
        <v>3523</v>
      </c>
      <c r="I145" s="15"/>
      <c r="J145" s="14"/>
      <c r="K145" s="15"/>
      <c r="M145" s="14"/>
      <c r="N145">
        <v>44</v>
      </c>
    </row>
    <row r="146" spans="1:14" x14ac:dyDescent="0.3">
      <c r="A146">
        <v>145</v>
      </c>
      <c r="B146" s="14" t="s">
        <v>2754</v>
      </c>
      <c r="C146" s="14" t="s">
        <v>191</v>
      </c>
      <c r="D146" s="14" t="s">
        <v>94</v>
      </c>
      <c r="E146" s="14" t="s">
        <v>30</v>
      </c>
      <c r="F146" s="15">
        <v>45407</v>
      </c>
      <c r="G146" s="14" t="s">
        <v>2847</v>
      </c>
      <c r="H146" t="s">
        <v>3523</v>
      </c>
      <c r="I146" s="15"/>
      <c r="J146" s="14"/>
      <c r="K146" s="15"/>
      <c r="M146" s="14"/>
      <c r="N146">
        <v>44</v>
      </c>
    </row>
    <row r="147" spans="1:14" x14ac:dyDescent="0.3">
      <c r="A147">
        <v>146</v>
      </c>
      <c r="B147" s="14" t="s">
        <v>2758</v>
      </c>
      <c r="C147" s="14" t="s">
        <v>516</v>
      </c>
      <c r="D147" s="14" t="s">
        <v>94</v>
      </c>
      <c r="E147" s="14" t="s">
        <v>30</v>
      </c>
      <c r="F147" s="15">
        <v>45407</v>
      </c>
      <c r="G147" s="14" t="s">
        <v>2847</v>
      </c>
      <c r="H147" t="s">
        <v>3523</v>
      </c>
      <c r="I147" s="15"/>
      <c r="J147" s="14"/>
      <c r="K147" s="15"/>
      <c r="M147" s="14"/>
      <c r="N147">
        <v>44</v>
      </c>
    </row>
    <row r="148" spans="1:14" x14ac:dyDescent="0.3">
      <c r="A148">
        <v>147</v>
      </c>
      <c r="B148" s="14" t="s">
        <v>2766</v>
      </c>
      <c r="C148" s="14" t="s">
        <v>524</v>
      </c>
      <c r="D148" s="14" t="s">
        <v>94</v>
      </c>
      <c r="E148" s="14" t="s">
        <v>30</v>
      </c>
      <c r="F148" s="15">
        <v>45407</v>
      </c>
      <c r="G148" s="14" t="s">
        <v>2847</v>
      </c>
      <c r="H148" t="s">
        <v>3523</v>
      </c>
      <c r="I148" s="15"/>
      <c r="J148" s="14"/>
      <c r="K148" s="15"/>
      <c r="M148" s="14"/>
      <c r="N148">
        <v>44</v>
      </c>
    </row>
    <row r="149" spans="1:14" x14ac:dyDescent="0.3">
      <c r="A149">
        <v>148</v>
      </c>
      <c r="B149" s="14" t="s">
        <v>2748</v>
      </c>
      <c r="C149" s="14" t="s">
        <v>508</v>
      </c>
      <c r="D149" s="14" t="s">
        <v>94</v>
      </c>
      <c r="E149" s="14" t="s">
        <v>30</v>
      </c>
      <c r="F149" s="15">
        <v>45406</v>
      </c>
      <c r="G149" s="14" t="s">
        <v>2847</v>
      </c>
      <c r="H149" t="s">
        <v>3523</v>
      </c>
      <c r="I149" s="15"/>
      <c r="J149" s="14"/>
      <c r="K149" s="15"/>
      <c r="M149" s="14"/>
      <c r="N149">
        <v>45</v>
      </c>
    </row>
    <row r="150" spans="1:14" x14ac:dyDescent="0.3">
      <c r="A150">
        <v>149</v>
      </c>
      <c r="B150" s="14" t="s">
        <v>2741</v>
      </c>
      <c r="C150" s="14" t="s">
        <v>502</v>
      </c>
      <c r="D150" s="14" t="s">
        <v>94</v>
      </c>
      <c r="E150" s="14" t="s">
        <v>30</v>
      </c>
      <c r="F150" s="15">
        <v>45406</v>
      </c>
      <c r="G150" s="14" t="s">
        <v>2847</v>
      </c>
      <c r="H150" t="s">
        <v>3523</v>
      </c>
      <c r="I150" s="15"/>
      <c r="J150" s="14"/>
      <c r="K150" s="15"/>
      <c r="M150" s="14"/>
      <c r="N150">
        <v>45</v>
      </c>
    </row>
    <row r="151" spans="1:14" x14ac:dyDescent="0.3">
      <c r="A151">
        <v>150</v>
      </c>
      <c r="B151" s="14" t="s">
        <v>2742</v>
      </c>
      <c r="C151" s="14" t="s">
        <v>503</v>
      </c>
      <c r="D151" s="14" t="s">
        <v>94</v>
      </c>
      <c r="E151" s="14" t="s">
        <v>30</v>
      </c>
      <c r="F151" s="15">
        <v>45406</v>
      </c>
      <c r="G151" s="14" t="s">
        <v>2847</v>
      </c>
      <c r="H151" t="s">
        <v>3523</v>
      </c>
      <c r="I151" s="15"/>
      <c r="J151" s="14"/>
      <c r="K151" s="15"/>
      <c r="M151" s="14"/>
      <c r="N151">
        <v>45</v>
      </c>
    </row>
    <row r="152" spans="1:14" x14ac:dyDescent="0.3">
      <c r="A152">
        <v>151</v>
      </c>
      <c r="B152" s="14" t="s">
        <v>2744</v>
      </c>
      <c r="C152" s="14" t="s">
        <v>505</v>
      </c>
      <c r="D152" s="14" t="s">
        <v>94</v>
      </c>
      <c r="E152" s="14" t="s">
        <v>30</v>
      </c>
      <c r="F152" s="15">
        <v>45406</v>
      </c>
      <c r="G152" s="14" t="s">
        <v>2847</v>
      </c>
      <c r="H152" t="s">
        <v>3523</v>
      </c>
      <c r="I152" s="15"/>
      <c r="J152" s="14"/>
      <c r="K152" s="15"/>
      <c r="M152" s="14"/>
      <c r="N152">
        <v>45</v>
      </c>
    </row>
    <row r="153" spans="1:14" x14ac:dyDescent="0.3">
      <c r="A153">
        <v>152</v>
      </c>
      <c r="B153" s="14" t="s">
        <v>2740</v>
      </c>
      <c r="C153" s="14" t="s">
        <v>501</v>
      </c>
      <c r="D153" s="14" t="s">
        <v>94</v>
      </c>
      <c r="E153" s="14" t="s">
        <v>30</v>
      </c>
      <c r="F153" s="15">
        <v>45406</v>
      </c>
      <c r="G153" s="14" t="s">
        <v>2847</v>
      </c>
      <c r="H153" t="s">
        <v>3523</v>
      </c>
      <c r="I153" s="15"/>
      <c r="J153" s="14"/>
      <c r="K153" s="15"/>
      <c r="M153" s="14"/>
      <c r="N153">
        <v>45</v>
      </c>
    </row>
    <row r="154" spans="1:14" x14ac:dyDescent="0.3">
      <c r="A154">
        <v>153</v>
      </c>
      <c r="B154" s="14" t="s">
        <v>2747</v>
      </c>
      <c r="C154" s="14" t="s">
        <v>507</v>
      </c>
      <c r="D154" s="14" t="s">
        <v>94</v>
      </c>
      <c r="E154" s="14" t="s">
        <v>30</v>
      </c>
      <c r="F154" s="15">
        <v>45406</v>
      </c>
      <c r="G154" s="14" t="s">
        <v>2847</v>
      </c>
      <c r="H154" t="s">
        <v>3523</v>
      </c>
      <c r="I154" s="15"/>
      <c r="J154" s="14"/>
      <c r="K154" s="15"/>
      <c r="M154" s="14"/>
      <c r="N154">
        <v>45</v>
      </c>
    </row>
    <row r="155" spans="1:14" x14ac:dyDescent="0.3">
      <c r="A155">
        <v>154</v>
      </c>
      <c r="B155" s="14" t="s">
        <v>2762</v>
      </c>
      <c r="C155" s="14" t="s">
        <v>520</v>
      </c>
      <c r="D155" s="14" t="s">
        <v>94</v>
      </c>
      <c r="E155" s="14" t="s">
        <v>30</v>
      </c>
      <c r="F155" s="15">
        <v>45405</v>
      </c>
      <c r="G155" s="14" t="s">
        <v>2847</v>
      </c>
      <c r="H155" t="s">
        <v>3523</v>
      </c>
      <c r="I155" s="15"/>
      <c r="J155" s="14"/>
      <c r="K155" s="15"/>
      <c r="M155" s="14"/>
      <c r="N155">
        <v>46</v>
      </c>
    </row>
    <row r="156" spans="1:14" x14ac:dyDescent="0.3">
      <c r="A156">
        <v>155</v>
      </c>
      <c r="B156" s="14" t="s">
        <v>2761</v>
      </c>
      <c r="C156" s="14" t="s">
        <v>519</v>
      </c>
      <c r="D156" s="14" t="s">
        <v>94</v>
      </c>
      <c r="E156" s="14" t="s">
        <v>30</v>
      </c>
      <c r="F156" s="15">
        <v>45405</v>
      </c>
      <c r="G156" s="14" t="s">
        <v>2847</v>
      </c>
      <c r="H156" t="s">
        <v>3523</v>
      </c>
      <c r="I156" s="15"/>
      <c r="J156" s="14"/>
      <c r="K156" s="15"/>
      <c r="M156" s="14"/>
      <c r="N156">
        <v>46</v>
      </c>
    </row>
    <row r="157" spans="1:14" x14ac:dyDescent="0.3">
      <c r="A157">
        <v>156</v>
      </c>
      <c r="B157" s="14" t="s">
        <v>2736</v>
      </c>
      <c r="C157" s="14" t="s">
        <v>497</v>
      </c>
      <c r="D157" s="14" t="s">
        <v>94</v>
      </c>
      <c r="E157" s="14" t="s">
        <v>30</v>
      </c>
      <c r="F157" s="15">
        <v>45405</v>
      </c>
      <c r="G157" s="14" t="s">
        <v>2847</v>
      </c>
      <c r="H157" t="s">
        <v>3523</v>
      </c>
      <c r="I157" s="15"/>
      <c r="J157" s="14"/>
      <c r="K157" s="15"/>
      <c r="M157" s="14"/>
      <c r="N157">
        <v>46</v>
      </c>
    </row>
    <row r="158" spans="1:14" x14ac:dyDescent="0.3">
      <c r="A158">
        <v>157</v>
      </c>
      <c r="B158" s="14" t="s">
        <v>2733</v>
      </c>
      <c r="C158" s="14" t="s">
        <v>494</v>
      </c>
      <c r="D158" s="14" t="s">
        <v>94</v>
      </c>
      <c r="E158" s="14" t="s">
        <v>30</v>
      </c>
      <c r="F158" s="15">
        <v>45405</v>
      </c>
      <c r="G158" s="14" t="s">
        <v>2847</v>
      </c>
      <c r="H158" t="s">
        <v>3523</v>
      </c>
      <c r="I158" s="15"/>
      <c r="J158" s="14"/>
      <c r="K158" s="15"/>
      <c r="M158" s="14"/>
      <c r="N158">
        <v>46</v>
      </c>
    </row>
    <row r="159" spans="1:14" x14ac:dyDescent="0.3">
      <c r="A159">
        <v>158</v>
      </c>
      <c r="B159" s="14" t="s">
        <v>2729</v>
      </c>
      <c r="C159" s="14" t="s">
        <v>490</v>
      </c>
      <c r="D159" s="14" t="s">
        <v>94</v>
      </c>
      <c r="E159" s="14" t="s">
        <v>30</v>
      </c>
      <c r="F159" s="15">
        <v>45404</v>
      </c>
      <c r="G159" s="14" t="s">
        <v>2847</v>
      </c>
      <c r="H159" t="s">
        <v>3523</v>
      </c>
      <c r="I159" s="15"/>
      <c r="J159" s="14"/>
      <c r="K159" s="15"/>
      <c r="M159" s="14"/>
      <c r="N159">
        <v>47</v>
      </c>
    </row>
    <row r="160" spans="1:14" x14ac:dyDescent="0.3">
      <c r="A160">
        <v>159</v>
      </c>
      <c r="B160" s="14" t="s">
        <v>2711</v>
      </c>
      <c r="C160" s="14" t="s">
        <v>474</v>
      </c>
      <c r="D160" s="14" t="s">
        <v>94</v>
      </c>
      <c r="E160" s="14" t="s">
        <v>30</v>
      </c>
      <c r="F160" s="15">
        <v>45404</v>
      </c>
      <c r="G160" s="14" t="s">
        <v>3539</v>
      </c>
      <c r="H160" t="s">
        <v>3523</v>
      </c>
      <c r="I160" s="15"/>
      <c r="J160" s="14"/>
      <c r="K160" s="15"/>
      <c r="M160" s="14"/>
      <c r="N160">
        <v>47</v>
      </c>
    </row>
    <row r="161" spans="1:14" x14ac:dyDescent="0.3">
      <c r="A161">
        <v>160</v>
      </c>
      <c r="B161" s="14" t="s">
        <v>2709</v>
      </c>
      <c r="C161" s="14" t="s">
        <v>472</v>
      </c>
      <c r="D161" s="14" t="s">
        <v>94</v>
      </c>
      <c r="E161" s="14" t="s">
        <v>30</v>
      </c>
      <c r="F161" s="15">
        <v>45404</v>
      </c>
      <c r="G161" s="14" t="s">
        <v>3539</v>
      </c>
      <c r="H161" t="s">
        <v>3523</v>
      </c>
      <c r="I161" s="15"/>
      <c r="J161" s="14"/>
      <c r="K161" s="15"/>
      <c r="M161" s="14"/>
      <c r="N161">
        <v>47</v>
      </c>
    </row>
    <row r="162" spans="1:14" x14ac:dyDescent="0.3">
      <c r="A162">
        <v>161</v>
      </c>
      <c r="B162" s="14" t="s">
        <v>2702</v>
      </c>
      <c r="C162" s="14" t="s">
        <v>465</v>
      </c>
      <c r="D162" s="14" t="s">
        <v>94</v>
      </c>
      <c r="E162" s="14" t="s">
        <v>30</v>
      </c>
      <c r="F162" s="15">
        <v>45402</v>
      </c>
      <c r="G162" s="14" t="s">
        <v>3539</v>
      </c>
      <c r="H162" t="s">
        <v>3523</v>
      </c>
      <c r="I162" s="15"/>
      <c r="J162" s="14"/>
      <c r="K162" s="15"/>
      <c r="M162" s="14"/>
      <c r="N162">
        <v>49</v>
      </c>
    </row>
    <row r="163" spans="1:14" x14ac:dyDescent="0.3">
      <c r="A163">
        <v>162</v>
      </c>
      <c r="B163" s="14" t="s">
        <v>2704</v>
      </c>
      <c r="C163" s="14" t="s">
        <v>467</v>
      </c>
      <c r="D163" s="14" t="s">
        <v>94</v>
      </c>
      <c r="E163" s="14" t="s">
        <v>30</v>
      </c>
      <c r="F163" s="15">
        <v>45402</v>
      </c>
      <c r="G163" s="14" t="s">
        <v>3539</v>
      </c>
      <c r="H163" t="s">
        <v>3523</v>
      </c>
      <c r="I163" s="15"/>
      <c r="J163" s="14"/>
      <c r="K163" s="15"/>
      <c r="M163" s="14"/>
      <c r="N163">
        <v>49</v>
      </c>
    </row>
    <row r="164" spans="1:14" x14ac:dyDescent="0.3">
      <c r="A164">
        <v>163</v>
      </c>
      <c r="B164" s="14" t="s">
        <v>2688</v>
      </c>
      <c r="C164" s="14" t="s">
        <v>453</v>
      </c>
      <c r="D164" s="14" t="s">
        <v>94</v>
      </c>
      <c r="E164" s="14" t="s">
        <v>30</v>
      </c>
      <c r="F164" s="15">
        <v>45400</v>
      </c>
      <c r="G164" s="14" t="s">
        <v>2847</v>
      </c>
      <c r="H164" t="s">
        <v>3523</v>
      </c>
      <c r="I164" s="15"/>
      <c r="J164" s="14"/>
      <c r="K164" s="15"/>
      <c r="M164" s="14"/>
      <c r="N164">
        <v>51</v>
      </c>
    </row>
    <row r="165" spans="1:14" x14ac:dyDescent="0.3">
      <c r="A165">
        <v>164</v>
      </c>
      <c r="B165" s="14" t="s">
        <v>2588</v>
      </c>
      <c r="C165" s="14" t="s">
        <v>369</v>
      </c>
      <c r="D165" s="14" t="s">
        <v>94</v>
      </c>
      <c r="E165" s="14" t="s">
        <v>30</v>
      </c>
      <c r="F165" s="15">
        <v>45370</v>
      </c>
      <c r="G165" s="14" t="s">
        <v>3539</v>
      </c>
      <c r="H165" t="s">
        <v>3523</v>
      </c>
      <c r="I165" s="15"/>
      <c r="J165" s="14"/>
      <c r="K165" s="15"/>
      <c r="M165" s="14"/>
      <c r="N165">
        <v>81</v>
      </c>
    </row>
    <row r="166" spans="1:14" x14ac:dyDescent="0.3">
      <c r="A166">
        <v>165</v>
      </c>
      <c r="B166" s="14" t="s">
        <v>2572</v>
      </c>
      <c r="C166" s="14" t="s">
        <v>2202</v>
      </c>
      <c r="D166" s="14" t="s">
        <v>94</v>
      </c>
      <c r="E166" s="14" t="s">
        <v>30</v>
      </c>
      <c r="F166" s="15">
        <v>45367</v>
      </c>
      <c r="G166" s="14" t="s">
        <v>3539</v>
      </c>
      <c r="H166" t="s">
        <v>3523</v>
      </c>
      <c r="I166" s="15"/>
      <c r="J166" s="14"/>
      <c r="K166" s="15"/>
      <c r="M166" s="14"/>
      <c r="N166">
        <v>84</v>
      </c>
    </row>
    <row r="167" spans="1:14" x14ac:dyDescent="0.3">
      <c r="A167">
        <v>166</v>
      </c>
      <c r="B167" s="14" t="s">
        <v>2558</v>
      </c>
      <c r="C167" s="14" t="s">
        <v>2200</v>
      </c>
      <c r="D167" s="14" t="s">
        <v>94</v>
      </c>
      <c r="E167" s="14" t="s">
        <v>30</v>
      </c>
      <c r="F167" s="15">
        <v>45365</v>
      </c>
      <c r="G167" s="14" t="s">
        <v>3539</v>
      </c>
      <c r="H167" t="s">
        <v>3523</v>
      </c>
      <c r="I167" s="15"/>
      <c r="J167" s="14"/>
      <c r="K167" s="15"/>
      <c r="M167" s="14"/>
      <c r="N167">
        <v>86</v>
      </c>
    </row>
    <row r="168" spans="1:14" x14ac:dyDescent="0.3">
      <c r="A168">
        <v>167</v>
      </c>
      <c r="B168" s="14" t="s">
        <v>2544</v>
      </c>
      <c r="C168" s="14" t="s">
        <v>2195</v>
      </c>
      <c r="D168" s="14" t="s">
        <v>94</v>
      </c>
      <c r="E168" s="14" t="s">
        <v>30</v>
      </c>
      <c r="F168" s="15">
        <v>45363</v>
      </c>
      <c r="G168" s="14" t="s">
        <v>2848</v>
      </c>
      <c r="H168" t="s">
        <v>3523</v>
      </c>
      <c r="I168" s="15"/>
      <c r="J168" s="14"/>
      <c r="K168" s="15"/>
      <c r="M168" s="14"/>
      <c r="N168">
        <v>88</v>
      </c>
    </row>
    <row r="169" spans="1:14" x14ac:dyDescent="0.3">
      <c r="A169">
        <v>168</v>
      </c>
      <c r="B169" s="14" t="s">
        <v>2526</v>
      </c>
      <c r="C169" s="14" t="s">
        <v>2192</v>
      </c>
      <c r="D169" s="14" t="s">
        <v>94</v>
      </c>
      <c r="E169" s="14" t="s">
        <v>30</v>
      </c>
      <c r="F169" s="15">
        <v>45356</v>
      </c>
      <c r="G169" s="14" t="s">
        <v>3539</v>
      </c>
      <c r="H169" t="s">
        <v>3523</v>
      </c>
      <c r="I169" s="15"/>
      <c r="J169" s="14"/>
      <c r="K169" s="15"/>
      <c r="M169" s="14"/>
      <c r="N169">
        <v>95</v>
      </c>
    </row>
    <row r="170" spans="1:14" x14ac:dyDescent="0.3">
      <c r="A170">
        <v>169</v>
      </c>
      <c r="B170" s="14" t="s">
        <v>2527</v>
      </c>
      <c r="C170" s="14" t="s">
        <v>322</v>
      </c>
      <c r="D170" s="14" t="s">
        <v>94</v>
      </c>
      <c r="E170" s="14" t="s">
        <v>30</v>
      </c>
      <c r="F170" s="15">
        <v>45356</v>
      </c>
      <c r="G170" s="14" t="s">
        <v>3539</v>
      </c>
      <c r="H170" t="s">
        <v>3523</v>
      </c>
      <c r="I170" s="15"/>
      <c r="J170" s="14"/>
      <c r="K170" s="15"/>
      <c r="M170" s="14"/>
      <c r="N170">
        <v>95</v>
      </c>
    </row>
    <row r="171" spans="1:14" x14ac:dyDescent="0.3">
      <c r="A171">
        <v>170</v>
      </c>
      <c r="B171" s="14" t="s">
        <v>2522</v>
      </c>
      <c r="C171" s="14" t="s">
        <v>319</v>
      </c>
      <c r="D171" s="14" t="s">
        <v>94</v>
      </c>
      <c r="E171" s="14" t="s">
        <v>30</v>
      </c>
      <c r="F171" s="15">
        <v>45354</v>
      </c>
      <c r="G171" s="14" t="s">
        <v>3539</v>
      </c>
      <c r="H171" t="s">
        <v>3523</v>
      </c>
      <c r="I171" s="15"/>
      <c r="J171" s="14"/>
      <c r="K171" s="15"/>
      <c r="M171" s="14"/>
      <c r="N171">
        <v>97</v>
      </c>
    </row>
    <row r="172" spans="1:14" x14ac:dyDescent="0.3">
      <c r="A172">
        <v>171</v>
      </c>
      <c r="B172" s="14" t="s">
        <v>2520</v>
      </c>
      <c r="C172" s="14" t="s">
        <v>2190</v>
      </c>
      <c r="D172" s="14" t="s">
        <v>94</v>
      </c>
      <c r="E172" s="14" t="s">
        <v>30</v>
      </c>
      <c r="F172" s="15">
        <v>45353</v>
      </c>
      <c r="G172" s="14" t="s">
        <v>3539</v>
      </c>
      <c r="H172" t="s">
        <v>3523</v>
      </c>
      <c r="I172" s="15"/>
      <c r="J172" s="14"/>
      <c r="K172" s="15"/>
      <c r="M172" s="14"/>
      <c r="N172">
        <v>98</v>
      </c>
    </row>
    <row r="173" spans="1:14" x14ac:dyDescent="0.3">
      <c r="A173">
        <v>172</v>
      </c>
      <c r="B173" s="14" t="s">
        <v>2516</v>
      </c>
      <c r="C173" s="14" t="s">
        <v>2189</v>
      </c>
      <c r="D173" s="14" t="s">
        <v>94</v>
      </c>
      <c r="E173" s="14" t="s">
        <v>30</v>
      </c>
      <c r="F173" s="15">
        <v>45352</v>
      </c>
      <c r="G173" s="14" t="s">
        <v>3539</v>
      </c>
      <c r="H173" t="s">
        <v>3523</v>
      </c>
      <c r="I173" s="15"/>
      <c r="J173" s="14"/>
      <c r="K173" s="15"/>
      <c r="M173" s="14"/>
      <c r="N173">
        <v>99</v>
      </c>
    </row>
    <row r="174" spans="1:14" x14ac:dyDescent="0.3">
      <c r="A174">
        <v>173</v>
      </c>
      <c r="B174" s="14" t="s">
        <v>2504</v>
      </c>
      <c r="C174" s="14" t="s">
        <v>2184</v>
      </c>
      <c r="D174" s="14" t="s">
        <v>94</v>
      </c>
      <c r="E174" s="14" t="s">
        <v>30</v>
      </c>
      <c r="F174" s="15">
        <v>45350</v>
      </c>
      <c r="G174" s="14" t="s">
        <v>2848</v>
      </c>
      <c r="H174" t="s">
        <v>3523</v>
      </c>
      <c r="I174" s="15"/>
      <c r="J174" s="14"/>
      <c r="K174" s="15"/>
      <c r="M174" s="14"/>
      <c r="N174">
        <v>101</v>
      </c>
    </row>
    <row r="175" spans="1:14" x14ac:dyDescent="0.3">
      <c r="A175">
        <v>174</v>
      </c>
      <c r="B175" s="14" t="s">
        <v>2503</v>
      </c>
      <c r="C175" s="14" t="s">
        <v>2183</v>
      </c>
      <c r="D175" s="14" t="s">
        <v>94</v>
      </c>
      <c r="E175" s="14" t="s">
        <v>30</v>
      </c>
      <c r="F175" s="15">
        <v>45350</v>
      </c>
      <c r="G175" s="14" t="s">
        <v>2848</v>
      </c>
      <c r="H175" t="s">
        <v>3523</v>
      </c>
      <c r="I175" s="15"/>
      <c r="J175" s="14"/>
      <c r="K175" s="15"/>
      <c r="M175" s="14"/>
      <c r="N175">
        <v>101</v>
      </c>
    </row>
    <row r="176" spans="1:14" x14ac:dyDescent="0.3">
      <c r="A176">
        <v>175</v>
      </c>
      <c r="B176" s="14" t="s">
        <v>2500</v>
      </c>
      <c r="C176" s="14" t="s">
        <v>307</v>
      </c>
      <c r="D176" s="14" t="s">
        <v>94</v>
      </c>
      <c r="E176" s="14" t="s">
        <v>30</v>
      </c>
      <c r="F176" s="15">
        <v>45349</v>
      </c>
      <c r="G176" s="14" t="s">
        <v>2848</v>
      </c>
      <c r="H176" t="s">
        <v>3523</v>
      </c>
      <c r="I176" s="15"/>
      <c r="J176" s="14"/>
      <c r="K176" s="15"/>
      <c r="M176" s="14"/>
      <c r="N176">
        <v>102</v>
      </c>
    </row>
    <row r="177" spans="1:14" x14ac:dyDescent="0.3">
      <c r="A177">
        <v>176</v>
      </c>
      <c r="B177" s="14" t="s">
        <v>2453</v>
      </c>
      <c r="C177" s="14" t="s">
        <v>263</v>
      </c>
      <c r="D177" s="14" t="s">
        <v>94</v>
      </c>
      <c r="E177" s="14" t="s">
        <v>30</v>
      </c>
      <c r="F177" s="15">
        <v>45321</v>
      </c>
      <c r="G177" s="14" t="s">
        <v>2847</v>
      </c>
      <c r="H177" t="s">
        <v>3523</v>
      </c>
      <c r="I177" s="15"/>
      <c r="J177" s="14"/>
      <c r="K177" s="15"/>
      <c r="M177" s="14"/>
      <c r="N177">
        <v>130</v>
      </c>
    </row>
    <row r="178" spans="1:14" x14ac:dyDescent="0.3">
      <c r="A178">
        <v>177</v>
      </c>
      <c r="B178" s="14" t="s">
        <v>2428</v>
      </c>
      <c r="C178" s="14" t="s">
        <v>2166</v>
      </c>
      <c r="D178" s="14" t="s">
        <v>94</v>
      </c>
      <c r="E178" s="14" t="s">
        <v>30</v>
      </c>
      <c r="F178" s="15">
        <v>45313</v>
      </c>
      <c r="G178" s="14" t="s">
        <v>2847</v>
      </c>
      <c r="H178" t="s">
        <v>3523</v>
      </c>
      <c r="I178" s="15"/>
      <c r="J178" s="14"/>
      <c r="K178" s="15"/>
      <c r="M178" s="14"/>
      <c r="N178">
        <v>138</v>
      </c>
    </row>
    <row r="179" spans="1:14" x14ac:dyDescent="0.3">
      <c r="A179">
        <v>178</v>
      </c>
      <c r="B179" s="14" t="s">
        <v>2421</v>
      </c>
      <c r="C179" s="14" t="s">
        <v>2162</v>
      </c>
      <c r="D179" s="14" t="s">
        <v>94</v>
      </c>
      <c r="E179" s="14" t="s">
        <v>30</v>
      </c>
      <c r="F179" s="15">
        <v>45310</v>
      </c>
      <c r="G179" s="14" t="s">
        <v>2847</v>
      </c>
      <c r="H179" t="s">
        <v>3523</v>
      </c>
      <c r="I179" s="15"/>
      <c r="J179" s="14"/>
      <c r="K179" s="15"/>
      <c r="M179" s="14"/>
      <c r="N179">
        <v>141</v>
      </c>
    </row>
    <row r="180" spans="1:14" x14ac:dyDescent="0.3">
      <c r="A180">
        <v>179</v>
      </c>
      <c r="B180" s="14" t="s">
        <v>2418</v>
      </c>
      <c r="C180" s="14" t="s">
        <v>2159</v>
      </c>
      <c r="D180" s="14" t="s">
        <v>94</v>
      </c>
      <c r="E180" s="14" t="s">
        <v>30</v>
      </c>
      <c r="F180" s="15">
        <v>45308</v>
      </c>
      <c r="G180" s="14" t="s">
        <v>2847</v>
      </c>
      <c r="H180" t="s">
        <v>3523</v>
      </c>
      <c r="I180" s="15"/>
      <c r="J180" s="14"/>
      <c r="K180" s="15"/>
      <c r="M180" s="14"/>
      <c r="N180">
        <v>143</v>
      </c>
    </row>
    <row r="181" spans="1:14" x14ac:dyDescent="0.3">
      <c r="A181">
        <v>180</v>
      </c>
      <c r="B181" s="14" t="s">
        <v>2419</v>
      </c>
      <c r="C181" s="14" t="s">
        <v>2160</v>
      </c>
      <c r="D181" s="14" t="s">
        <v>94</v>
      </c>
      <c r="E181" s="14" t="s">
        <v>30</v>
      </c>
      <c r="F181" s="15">
        <v>45308</v>
      </c>
      <c r="G181" s="14" t="s">
        <v>2847</v>
      </c>
      <c r="H181" t="s">
        <v>3523</v>
      </c>
      <c r="I181" s="15"/>
      <c r="J181" s="14"/>
      <c r="K181" s="15"/>
      <c r="M181" s="14"/>
      <c r="N181">
        <v>143</v>
      </c>
    </row>
    <row r="182" spans="1:14" x14ac:dyDescent="0.3">
      <c r="A182">
        <v>181</v>
      </c>
      <c r="B182" s="14" t="s">
        <v>2420</v>
      </c>
      <c r="C182" s="14" t="s">
        <v>2161</v>
      </c>
      <c r="D182" s="14" t="s">
        <v>94</v>
      </c>
      <c r="E182" s="14" t="s">
        <v>30</v>
      </c>
      <c r="F182" s="15">
        <v>45308</v>
      </c>
      <c r="G182" s="14" t="s">
        <v>2847</v>
      </c>
      <c r="H182" t="s">
        <v>3523</v>
      </c>
      <c r="I182" s="15"/>
      <c r="J182" s="14"/>
      <c r="K182" s="15"/>
      <c r="M182" s="14"/>
      <c r="N182">
        <v>143</v>
      </c>
    </row>
    <row r="183" spans="1:14" x14ac:dyDescent="0.3">
      <c r="A183">
        <v>182</v>
      </c>
      <c r="B183" s="14" t="s">
        <v>2411</v>
      </c>
      <c r="C183" s="14" t="s">
        <v>247</v>
      </c>
      <c r="D183" s="14" t="s">
        <v>94</v>
      </c>
      <c r="E183" s="14" t="s">
        <v>30</v>
      </c>
      <c r="F183" s="15">
        <v>45306</v>
      </c>
      <c r="G183" s="14" t="s">
        <v>2847</v>
      </c>
      <c r="H183" t="s">
        <v>3523</v>
      </c>
      <c r="I183" s="15"/>
      <c r="J183" s="14"/>
      <c r="K183" s="15"/>
      <c r="M183" s="14"/>
      <c r="N183">
        <v>145</v>
      </c>
    </row>
    <row r="184" spans="1:14" x14ac:dyDescent="0.3">
      <c r="A184">
        <v>183</v>
      </c>
      <c r="B184" s="14" t="s">
        <v>2414</v>
      </c>
      <c r="C184" s="14" t="s">
        <v>2155</v>
      </c>
      <c r="D184" s="14" t="s">
        <v>94</v>
      </c>
      <c r="E184" s="14" t="s">
        <v>30</v>
      </c>
      <c r="F184" s="15">
        <v>45306</v>
      </c>
      <c r="G184" s="14" t="s">
        <v>2847</v>
      </c>
      <c r="H184" t="s">
        <v>3523</v>
      </c>
      <c r="I184" s="15"/>
      <c r="J184" s="14"/>
      <c r="K184" s="15"/>
      <c r="M184" s="14"/>
      <c r="N184">
        <v>145</v>
      </c>
    </row>
    <row r="185" spans="1:14" x14ac:dyDescent="0.3">
      <c r="A185">
        <v>184</v>
      </c>
      <c r="B185" s="14" t="s">
        <v>2413</v>
      </c>
      <c r="C185" s="14" t="s">
        <v>249</v>
      </c>
      <c r="D185" s="14" t="s">
        <v>94</v>
      </c>
      <c r="E185" s="14" t="s">
        <v>30</v>
      </c>
      <c r="F185" s="15">
        <v>45306</v>
      </c>
      <c r="G185" s="14" t="s">
        <v>2847</v>
      </c>
      <c r="H185" t="s">
        <v>3523</v>
      </c>
      <c r="I185" s="15"/>
      <c r="J185" s="14"/>
      <c r="K185" s="15"/>
      <c r="M185" s="14"/>
      <c r="N185">
        <v>145</v>
      </c>
    </row>
    <row r="186" spans="1:14" x14ac:dyDescent="0.3">
      <c r="A186">
        <v>185</v>
      </c>
      <c r="B186" s="14" t="s">
        <v>2409</v>
      </c>
      <c r="C186" s="14" t="s">
        <v>245</v>
      </c>
      <c r="D186" s="14" t="s">
        <v>94</v>
      </c>
      <c r="E186" s="14" t="s">
        <v>30</v>
      </c>
      <c r="F186" s="15">
        <v>45304</v>
      </c>
      <c r="G186" s="14" t="s">
        <v>2847</v>
      </c>
      <c r="H186" t="s">
        <v>3523</v>
      </c>
      <c r="I186" s="15"/>
      <c r="J186" s="14"/>
      <c r="K186" s="15"/>
      <c r="M186" s="14"/>
      <c r="N186">
        <v>147</v>
      </c>
    </row>
    <row r="187" spans="1:14" x14ac:dyDescent="0.3">
      <c r="A187">
        <v>186</v>
      </c>
      <c r="B187" s="14" t="s">
        <v>2408</v>
      </c>
      <c r="C187" s="14" t="s">
        <v>2154</v>
      </c>
      <c r="D187" s="14" t="s">
        <v>94</v>
      </c>
      <c r="E187" s="14" t="s">
        <v>30</v>
      </c>
      <c r="F187" s="15">
        <v>45303</v>
      </c>
      <c r="G187" s="14" t="s">
        <v>2847</v>
      </c>
      <c r="H187" t="s">
        <v>3523</v>
      </c>
      <c r="I187" s="15"/>
      <c r="J187" s="14"/>
      <c r="K187" s="15"/>
      <c r="M187" s="14"/>
      <c r="N187">
        <v>148</v>
      </c>
    </row>
    <row r="188" spans="1:14" x14ac:dyDescent="0.3">
      <c r="A188">
        <v>187</v>
      </c>
      <c r="B188" s="14" t="s">
        <v>2404</v>
      </c>
      <c r="C188" s="14" t="s">
        <v>2152</v>
      </c>
      <c r="D188" s="14" t="s">
        <v>94</v>
      </c>
      <c r="E188" s="14" t="s">
        <v>30</v>
      </c>
      <c r="F188" s="15">
        <v>45302</v>
      </c>
      <c r="G188" s="14" t="s">
        <v>2847</v>
      </c>
      <c r="H188" t="s">
        <v>3523</v>
      </c>
      <c r="I188" s="15"/>
      <c r="J188" s="14"/>
      <c r="K188" s="15"/>
      <c r="M188" s="14"/>
      <c r="N188">
        <v>149</v>
      </c>
    </row>
    <row r="189" spans="1:14" x14ac:dyDescent="0.3">
      <c r="A189">
        <v>188</v>
      </c>
      <c r="B189" s="14" t="s">
        <v>2399</v>
      </c>
      <c r="C189" s="14" t="s">
        <v>2148</v>
      </c>
      <c r="D189" s="14" t="s">
        <v>94</v>
      </c>
      <c r="E189" s="14" t="s">
        <v>30</v>
      </c>
      <c r="F189" s="15">
        <v>45301</v>
      </c>
      <c r="G189" s="14" t="s">
        <v>2847</v>
      </c>
      <c r="H189" t="s">
        <v>3523</v>
      </c>
      <c r="I189" s="15"/>
      <c r="J189" s="14"/>
      <c r="K189" s="15"/>
      <c r="M189" s="14"/>
      <c r="N189">
        <v>150</v>
      </c>
    </row>
    <row r="190" spans="1:14" x14ac:dyDescent="0.3">
      <c r="A190">
        <v>189</v>
      </c>
      <c r="B190" s="14" t="s">
        <v>2396</v>
      </c>
      <c r="C190" s="14" t="s">
        <v>2146</v>
      </c>
      <c r="D190" s="14" t="s">
        <v>94</v>
      </c>
      <c r="E190" s="14" t="s">
        <v>30</v>
      </c>
      <c r="F190" s="15">
        <v>45301</v>
      </c>
      <c r="G190" s="14" t="s">
        <v>2847</v>
      </c>
      <c r="H190" t="s">
        <v>3523</v>
      </c>
      <c r="I190" s="15"/>
      <c r="J190" s="14"/>
      <c r="K190" s="15"/>
      <c r="M190" s="14"/>
      <c r="N190">
        <v>150</v>
      </c>
    </row>
    <row r="191" spans="1:14" x14ac:dyDescent="0.3">
      <c r="A191">
        <v>190</v>
      </c>
      <c r="B191" s="14" t="s">
        <v>2397</v>
      </c>
      <c r="C191" s="14" t="s">
        <v>241</v>
      </c>
      <c r="D191" s="14" t="s">
        <v>94</v>
      </c>
      <c r="E191" s="14" t="s">
        <v>30</v>
      </c>
      <c r="F191" s="15">
        <v>45301</v>
      </c>
      <c r="G191" s="14" t="s">
        <v>2847</v>
      </c>
      <c r="H191" t="s">
        <v>3523</v>
      </c>
      <c r="I191" s="15"/>
      <c r="J191" s="14"/>
      <c r="K191" s="15"/>
      <c r="M191" s="14"/>
      <c r="N191">
        <v>150</v>
      </c>
    </row>
    <row r="192" spans="1:14" x14ac:dyDescent="0.3">
      <c r="A192">
        <v>191</v>
      </c>
      <c r="B192" s="14" t="s">
        <v>2398</v>
      </c>
      <c r="C192" s="14" t="s">
        <v>2147</v>
      </c>
      <c r="D192" s="14" t="s">
        <v>94</v>
      </c>
      <c r="E192" s="14" t="s">
        <v>30</v>
      </c>
      <c r="F192" s="15">
        <v>45301</v>
      </c>
      <c r="G192" s="14" t="s">
        <v>2847</v>
      </c>
      <c r="H192" t="s">
        <v>3523</v>
      </c>
      <c r="I192" s="15"/>
      <c r="J192" s="14"/>
      <c r="K192" s="15"/>
      <c r="M192" s="14"/>
      <c r="N192">
        <v>150</v>
      </c>
    </row>
    <row r="193" spans="1:14" x14ac:dyDescent="0.3">
      <c r="A193">
        <v>192</v>
      </c>
      <c r="B193" s="14" t="s">
        <v>2393</v>
      </c>
      <c r="C193" s="14" t="s">
        <v>240</v>
      </c>
      <c r="D193" s="14" t="s">
        <v>94</v>
      </c>
      <c r="E193" s="14" t="s">
        <v>30</v>
      </c>
      <c r="F193" s="15">
        <v>45300</v>
      </c>
      <c r="G193" s="14" t="s">
        <v>2847</v>
      </c>
      <c r="H193" t="s">
        <v>3523</v>
      </c>
      <c r="I193" s="15"/>
      <c r="J193" s="14"/>
      <c r="K193" s="15"/>
      <c r="M193" s="14"/>
      <c r="N193">
        <v>151</v>
      </c>
    </row>
    <row r="194" spans="1:14" x14ac:dyDescent="0.3">
      <c r="A194">
        <v>193</v>
      </c>
      <c r="B194" s="14" t="s">
        <v>2392</v>
      </c>
      <c r="C194" s="14" t="s">
        <v>2143</v>
      </c>
      <c r="D194" s="14" t="s">
        <v>94</v>
      </c>
      <c r="E194" s="14" t="s">
        <v>30</v>
      </c>
      <c r="F194" s="15">
        <v>45300</v>
      </c>
      <c r="G194" s="14" t="s">
        <v>2847</v>
      </c>
      <c r="H194" t="s">
        <v>3523</v>
      </c>
      <c r="I194" s="15"/>
      <c r="J194" s="14"/>
      <c r="K194" s="15"/>
      <c r="M194" s="14"/>
      <c r="N194">
        <v>151</v>
      </c>
    </row>
    <row r="195" spans="1:14" x14ac:dyDescent="0.3">
      <c r="A195">
        <v>194</v>
      </c>
      <c r="B195" s="14" t="s">
        <v>2391</v>
      </c>
      <c r="C195" s="14" t="s">
        <v>2142</v>
      </c>
      <c r="D195" s="14" t="s">
        <v>94</v>
      </c>
      <c r="E195" s="14" t="s">
        <v>30</v>
      </c>
      <c r="F195" s="15">
        <v>45299</v>
      </c>
      <c r="G195" s="14" t="s">
        <v>2847</v>
      </c>
      <c r="H195" t="s">
        <v>3523</v>
      </c>
      <c r="I195" s="15"/>
      <c r="J195" s="14"/>
      <c r="K195" s="15"/>
      <c r="M195" s="14"/>
      <c r="N195">
        <v>152</v>
      </c>
    </row>
    <row r="196" spans="1:14" x14ac:dyDescent="0.3">
      <c r="A196">
        <v>195</v>
      </c>
      <c r="B196" s="14" t="s">
        <v>2389</v>
      </c>
      <c r="C196" s="14" t="s">
        <v>2141</v>
      </c>
      <c r="D196" s="14" t="s">
        <v>94</v>
      </c>
      <c r="E196" s="14" t="s">
        <v>30</v>
      </c>
      <c r="F196" s="15">
        <v>45299</v>
      </c>
      <c r="G196" s="14" t="s">
        <v>2847</v>
      </c>
      <c r="H196" t="s">
        <v>3523</v>
      </c>
      <c r="I196" s="15"/>
      <c r="J196" s="14"/>
      <c r="K196" s="15"/>
      <c r="M196" s="14"/>
      <c r="N196">
        <v>152</v>
      </c>
    </row>
    <row r="197" spans="1:14" x14ac:dyDescent="0.3">
      <c r="A197">
        <v>196</v>
      </c>
      <c r="B197" s="14" t="s">
        <v>2385</v>
      </c>
      <c r="C197" s="14" t="s">
        <v>236</v>
      </c>
      <c r="D197" s="14" t="s">
        <v>94</v>
      </c>
      <c r="E197" s="14" t="s">
        <v>30</v>
      </c>
      <c r="F197" s="15">
        <v>45298</v>
      </c>
      <c r="G197" s="14" t="s">
        <v>2847</v>
      </c>
      <c r="H197" t="s">
        <v>3523</v>
      </c>
      <c r="I197" s="15"/>
      <c r="J197" s="14"/>
      <c r="K197" s="15"/>
      <c r="M197" s="14"/>
      <c r="N197">
        <v>153</v>
      </c>
    </row>
    <row r="198" spans="1:14" x14ac:dyDescent="0.3">
      <c r="A198">
        <v>197</v>
      </c>
      <c r="B198" s="14" t="s">
        <v>2361</v>
      </c>
      <c r="C198" s="14" t="s">
        <v>224</v>
      </c>
      <c r="D198" s="14" t="s">
        <v>94</v>
      </c>
      <c r="E198" s="14" t="s">
        <v>30</v>
      </c>
      <c r="F198" s="15">
        <v>45294</v>
      </c>
      <c r="G198" s="14" t="s">
        <v>2847</v>
      </c>
      <c r="H198" t="s">
        <v>3523</v>
      </c>
      <c r="I198" s="15"/>
      <c r="J198" s="14"/>
      <c r="K198" s="15"/>
      <c r="M198" s="14"/>
      <c r="N198">
        <v>157</v>
      </c>
    </row>
    <row r="199" spans="1:14" x14ac:dyDescent="0.3">
      <c r="A199">
        <v>198</v>
      </c>
      <c r="B199" s="14" t="s">
        <v>2363</v>
      </c>
      <c r="C199" s="14" t="s">
        <v>2129</v>
      </c>
      <c r="D199" s="14" t="s">
        <v>94</v>
      </c>
      <c r="E199" s="14" t="s">
        <v>30</v>
      </c>
      <c r="F199" s="15">
        <v>45294</v>
      </c>
      <c r="G199" s="14" t="s">
        <v>2847</v>
      </c>
      <c r="H199" t="s">
        <v>3523</v>
      </c>
      <c r="I199" s="15"/>
      <c r="J199" s="14"/>
      <c r="K199" s="15"/>
      <c r="M199" s="14"/>
      <c r="N199">
        <v>157</v>
      </c>
    </row>
    <row r="200" spans="1:14" x14ac:dyDescent="0.3">
      <c r="A200">
        <v>199</v>
      </c>
      <c r="B200" s="14" t="s">
        <v>2365</v>
      </c>
      <c r="C200" s="14" t="s">
        <v>2131</v>
      </c>
      <c r="D200" s="14" t="s">
        <v>94</v>
      </c>
      <c r="E200" s="14" t="s">
        <v>30</v>
      </c>
      <c r="F200" s="15">
        <v>45294</v>
      </c>
      <c r="G200" s="14" t="s">
        <v>2847</v>
      </c>
      <c r="H200" t="s">
        <v>3523</v>
      </c>
      <c r="I200" s="15"/>
      <c r="J200" s="14"/>
      <c r="K200" s="15"/>
      <c r="M200" s="14"/>
      <c r="N200">
        <v>157</v>
      </c>
    </row>
    <row r="201" spans="1:14" x14ac:dyDescent="0.3">
      <c r="A201">
        <v>200</v>
      </c>
      <c r="B201" s="14" t="s">
        <v>2357</v>
      </c>
      <c r="C201" s="14" t="s">
        <v>2125</v>
      </c>
      <c r="D201" s="14" t="s">
        <v>94</v>
      </c>
      <c r="E201" s="14" t="s">
        <v>30</v>
      </c>
      <c r="F201" s="15">
        <v>45294</v>
      </c>
      <c r="G201" s="14" t="s">
        <v>2847</v>
      </c>
      <c r="H201" t="s">
        <v>3523</v>
      </c>
      <c r="I201" s="15"/>
      <c r="J201" s="14"/>
      <c r="K201" s="15"/>
      <c r="M201" s="14"/>
      <c r="N201">
        <v>157</v>
      </c>
    </row>
    <row r="202" spans="1:14" x14ac:dyDescent="0.3">
      <c r="A202">
        <v>201</v>
      </c>
      <c r="B202" s="14" t="s">
        <v>2359</v>
      </c>
      <c r="C202" s="14" t="s">
        <v>2126</v>
      </c>
      <c r="D202" s="14" t="s">
        <v>94</v>
      </c>
      <c r="E202" s="14" t="s">
        <v>30</v>
      </c>
      <c r="F202" s="15">
        <v>45294</v>
      </c>
      <c r="G202" s="14" t="s">
        <v>2847</v>
      </c>
      <c r="H202" t="s">
        <v>3523</v>
      </c>
      <c r="I202" s="15"/>
      <c r="J202" s="14"/>
      <c r="K202" s="15"/>
      <c r="M202" s="14"/>
      <c r="N202">
        <v>157</v>
      </c>
    </row>
    <row r="203" spans="1:14" x14ac:dyDescent="0.3">
      <c r="A203">
        <v>202</v>
      </c>
      <c r="B203" s="14" t="s">
        <v>2352</v>
      </c>
      <c r="C203" s="14" t="s">
        <v>504</v>
      </c>
      <c r="D203" s="14" t="s">
        <v>94</v>
      </c>
      <c r="E203" s="14" t="s">
        <v>30</v>
      </c>
      <c r="F203" s="15">
        <v>45293</v>
      </c>
      <c r="G203" s="14" t="s">
        <v>2847</v>
      </c>
      <c r="H203" t="s">
        <v>3523</v>
      </c>
      <c r="I203" s="15"/>
      <c r="J203" s="14"/>
      <c r="K203" s="15"/>
      <c r="M203" s="14"/>
      <c r="N203">
        <v>158</v>
      </c>
    </row>
    <row r="204" spans="1:14" x14ac:dyDescent="0.3">
      <c r="A204">
        <v>203</v>
      </c>
      <c r="B204" s="14" t="s">
        <v>2326</v>
      </c>
      <c r="C204" s="14" t="s">
        <v>2117</v>
      </c>
      <c r="D204" s="14" t="s">
        <v>94</v>
      </c>
      <c r="E204" s="14" t="s">
        <v>30</v>
      </c>
      <c r="F204" s="15">
        <v>45261</v>
      </c>
      <c r="G204" s="14" t="s">
        <v>2847</v>
      </c>
      <c r="H204" t="s">
        <v>3523</v>
      </c>
      <c r="I204" s="15"/>
      <c r="J204" s="14"/>
      <c r="K204" s="15"/>
      <c r="M204" s="14"/>
      <c r="N204">
        <v>190</v>
      </c>
    </row>
    <row r="205" spans="1:14" x14ac:dyDescent="0.3">
      <c r="A205">
        <v>204</v>
      </c>
      <c r="B205" s="14" t="s">
        <v>2265</v>
      </c>
      <c r="C205" s="14" t="s">
        <v>476</v>
      </c>
      <c r="D205" s="14" t="s">
        <v>94</v>
      </c>
      <c r="E205" s="14" t="s">
        <v>30</v>
      </c>
      <c r="F205" s="15">
        <v>45261</v>
      </c>
      <c r="G205" s="14" t="s">
        <v>2847</v>
      </c>
      <c r="H205" t="s">
        <v>3523</v>
      </c>
      <c r="I205" s="15"/>
      <c r="J205" s="14"/>
      <c r="K205" s="15"/>
      <c r="M205" s="14"/>
      <c r="N205">
        <v>190</v>
      </c>
    </row>
    <row r="206" spans="1:14" x14ac:dyDescent="0.3">
      <c r="A206">
        <v>205</v>
      </c>
      <c r="B206" s="14" t="s">
        <v>2325</v>
      </c>
      <c r="C206" s="14" t="s">
        <v>2116</v>
      </c>
      <c r="D206" s="14" t="s">
        <v>94</v>
      </c>
      <c r="E206" s="14" t="s">
        <v>30</v>
      </c>
      <c r="F206" s="15">
        <v>45261</v>
      </c>
      <c r="G206" s="14" t="s">
        <v>2847</v>
      </c>
      <c r="H206" t="s">
        <v>3523</v>
      </c>
      <c r="I206" s="15"/>
      <c r="J206" s="14"/>
      <c r="K206" s="15"/>
      <c r="M206" s="14"/>
      <c r="N206">
        <v>190</v>
      </c>
    </row>
    <row r="207" spans="1:14" x14ac:dyDescent="0.3">
      <c r="A207">
        <v>206</v>
      </c>
      <c r="B207" s="14" t="s">
        <v>2322</v>
      </c>
      <c r="C207" s="14" t="s">
        <v>2114</v>
      </c>
      <c r="D207" s="14" t="s">
        <v>94</v>
      </c>
      <c r="E207" s="14" t="s">
        <v>30</v>
      </c>
      <c r="F207" s="15">
        <v>45261</v>
      </c>
      <c r="G207" s="14" t="s">
        <v>2847</v>
      </c>
      <c r="H207" t="s">
        <v>3523</v>
      </c>
      <c r="I207" s="15"/>
      <c r="J207" s="14"/>
      <c r="K207" s="15"/>
      <c r="M207" s="14"/>
      <c r="N207">
        <v>190</v>
      </c>
    </row>
    <row r="208" spans="1:14" x14ac:dyDescent="0.3">
      <c r="A208">
        <v>207</v>
      </c>
      <c r="B208" s="14" t="s">
        <v>2324</v>
      </c>
      <c r="C208" s="14" t="s">
        <v>2115</v>
      </c>
      <c r="D208" s="14" t="s">
        <v>94</v>
      </c>
      <c r="E208" s="14" t="s">
        <v>30</v>
      </c>
      <c r="F208" s="15">
        <v>45261</v>
      </c>
      <c r="G208" s="14" t="s">
        <v>2847</v>
      </c>
      <c r="H208" t="s">
        <v>3523</v>
      </c>
      <c r="I208" s="15"/>
      <c r="J208" s="14"/>
      <c r="K208" s="15"/>
      <c r="M208" s="14"/>
      <c r="N208">
        <v>190</v>
      </c>
    </row>
    <row r="209" spans="1:14" x14ac:dyDescent="0.3">
      <c r="A209">
        <v>208</v>
      </c>
      <c r="B209" s="14" t="s">
        <v>2285</v>
      </c>
      <c r="C209" s="14" t="s">
        <v>2103</v>
      </c>
      <c r="D209" s="14" t="s">
        <v>94</v>
      </c>
      <c r="E209" s="14" t="s">
        <v>30</v>
      </c>
      <c r="F209" s="15">
        <v>45261</v>
      </c>
      <c r="G209" s="14" t="s">
        <v>2847</v>
      </c>
      <c r="H209" t="s">
        <v>3523</v>
      </c>
      <c r="I209" s="15"/>
      <c r="J209" s="14"/>
      <c r="K209" s="15"/>
      <c r="M209" s="14"/>
      <c r="N209">
        <v>190</v>
      </c>
    </row>
    <row r="210" spans="1:14" x14ac:dyDescent="0.3">
      <c r="A210">
        <v>209</v>
      </c>
      <c r="B210" s="14" t="s">
        <v>2280</v>
      </c>
      <c r="C210" s="14" t="s">
        <v>171</v>
      </c>
      <c r="D210" s="14" t="s">
        <v>94</v>
      </c>
      <c r="E210" s="14" t="s">
        <v>30</v>
      </c>
      <c r="F210" s="15">
        <v>45261</v>
      </c>
      <c r="G210" s="14" t="s">
        <v>2847</v>
      </c>
      <c r="H210" t="s">
        <v>3523</v>
      </c>
      <c r="I210" s="15"/>
      <c r="J210" s="14"/>
      <c r="K210" s="15"/>
      <c r="M210" s="14"/>
      <c r="N210">
        <v>190</v>
      </c>
    </row>
    <row r="211" spans="1:14" x14ac:dyDescent="0.3">
      <c r="A211">
        <v>210</v>
      </c>
      <c r="B211" s="14" t="s">
        <v>2286</v>
      </c>
      <c r="C211" s="14" t="s">
        <v>2104</v>
      </c>
      <c r="D211" s="14" t="s">
        <v>94</v>
      </c>
      <c r="E211" s="14" t="s">
        <v>30</v>
      </c>
      <c r="F211" s="15">
        <v>45261</v>
      </c>
      <c r="G211" s="14" t="s">
        <v>2847</v>
      </c>
      <c r="H211" t="s">
        <v>3523</v>
      </c>
      <c r="I211" s="15"/>
      <c r="J211" s="14"/>
      <c r="K211" s="15"/>
      <c r="M211" s="14"/>
      <c r="N211">
        <v>190</v>
      </c>
    </row>
    <row r="212" spans="1:14" x14ac:dyDescent="0.3">
      <c r="A212">
        <v>211</v>
      </c>
      <c r="B212" s="14" t="s">
        <v>2301</v>
      </c>
      <c r="C212" s="14" t="s">
        <v>184</v>
      </c>
      <c r="D212" s="14" t="s">
        <v>94</v>
      </c>
      <c r="E212" s="14" t="s">
        <v>30</v>
      </c>
      <c r="F212" s="15">
        <v>45261</v>
      </c>
      <c r="G212" s="14" t="s">
        <v>2847</v>
      </c>
      <c r="H212" t="s">
        <v>3523</v>
      </c>
      <c r="I212" s="15"/>
      <c r="J212" s="14"/>
      <c r="K212" s="15"/>
      <c r="M212" s="14"/>
      <c r="N212">
        <v>190</v>
      </c>
    </row>
    <row r="213" spans="1:14" x14ac:dyDescent="0.3">
      <c r="A213">
        <v>212</v>
      </c>
      <c r="B213" s="14" t="s">
        <v>2287</v>
      </c>
      <c r="C213" s="14" t="s">
        <v>175</v>
      </c>
      <c r="D213" s="14" t="s">
        <v>94</v>
      </c>
      <c r="E213" s="14" t="s">
        <v>30</v>
      </c>
      <c r="F213" s="15">
        <v>45261</v>
      </c>
      <c r="G213" s="14" t="s">
        <v>2847</v>
      </c>
      <c r="H213" t="s">
        <v>3523</v>
      </c>
      <c r="I213" s="15"/>
      <c r="J213" s="14"/>
      <c r="K213" s="15"/>
      <c r="M213" s="14"/>
      <c r="N213">
        <v>190</v>
      </c>
    </row>
    <row r="214" spans="1:14" x14ac:dyDescent="0.3">
      <c r="A214">
        <v>213</v>
      </c>
      <c r="B214" s="14" t="s">
        <v>2270</v>
      </c>
      <c r="C214" s="14" t="s">
        <v>161</v>
      </c>
      <c r="D214" s="14" t="s">
        <v>94</v>
      </c>
      <c r="E214" s="14" t="s">
        <v>30</v>
      </c>
      <c r="F214" s="15">
        <v>45261</v>
      </c>
      <c r="G214" s="14" t="s">
        <v>2848</v>
      </c>
      <c r="H214" t="s">
        <v>3523</v>
      </c>
      <c r="I214" s="15"/>
      <c r="J214" s="14"/>
      <c r="K214" s="15"/>
      <c r="M214" s="14"/>
      <c r="N214">
        <v>190</v>
      </c>
    </row>
    <row r="215" spans="1:14" x14ac:dyDescent="0.3">
      <c r="A215">
        <v>214</v>
      </c>
      <c r="B215" s="14" t="s">
        <v>2306</v>
      </c>
      <c r="C215" s="14" t="s">
        <v>189</v>
      </c>
      <c r="D215" s="14" t="s">
        <v>94</v>
      </c>
      <c r="E215" s="14" t="s">
        <v>30</v>
      </c>
      <c r="F215" s="15">
        <v>45261</v>
      </c>
      <c r="G215" s="14" t="s">
        <v>2847</v>
      </c>
      <c r="H215" t="s">
        <v>3523</v>
      </c>
      <c r="I215" s="15"/>
      <c r="J215" s="14"/>
      <c r="K215" s="15"/>
      <c r="M215" s="14"/>
      <c r="N215">
        <v>190</v>
      </c>
    </row>
    <row r="216" spans="1:14" x14ac:dyDescent="0.3">
      <c r="A216">
        <v>215</v>
      </c>
      <c r="B216" s="14" t="s">
        <v>2307</v>
      </c>
      <c r="C216" s="14" t="s">
        <v>190</v>
      </c>
      <c r="D216" s="14" t="s">
        <v>94</v>
      </c>
      <c r="E216" s="14" t="s">
        <v>30</v>
      </c>
      <c r="F216" s="15">
        <v>45261</v>
      </c>
      <c r="G216" s="14" t="s">
        <v>2847</v>
      </c>
      <c r="H216" t="s">
        <v>3523</v>
      </c>
      <c r="I216" s="15"/>
      <c r="J216" s="14"/>
      <c r="K216" s="15"/>
      <c r="M216" s="14"/>
      <c r="N216">
        <v>190</v>
      </c>
    </row>
    <row r="217" spans="1:14" x14ac:dyDescent="0.3">
      <c r="A217">
        <v>216</v>
      </c>
      <c r="B217" s="14" t="s">
        <v>2305</v>
      </c>
      <c r="C217" s="14" t="s">
        <v>188</v>
      </c>
      <c r="D217" s="14" t="s">
        <v>94</v>
      </c>
      <c r="E217" s="14" t="s">
        <v>30</v>
      </c>
      <c r="F217" s="15">
        <v>45261</v>
      </c>
      <c r="G217" s="14" t="s">
        <v>2847</v>
      </c>
      <c r="H217" t="s">
        <v>3523</v>
      </c>
      <c r="I217" s="15"/>
      <c r="J217" s="14"/>
      <c r="K217" s="15"/>
      <c r="M217" s="14"/>
      <c r="N217">
        <v>190</v>
      </c>
    </row>
    <row r="218" spans="1:14" x14ac:dyDescent="0.3">
      <c r="A218">
        <v>217</v>
      </c>
      <c r="B218" s="14" t="s">
        <v>2299</v>
      </c>
      <c r="C218" s="14" t="s">
        <v>182</v>
      </c>
      <c r="D218" s="14" t="s">
        <v>94</v>
      </c>
      <c r="E218" s="14" t="s">
        <v>30</v>
      </c>
      <c r="F218" s="15">
        <v>45261</v>
      </c>
      <c r="G218" s="14" t="s">
        <v>2847</v>
      </c>
      <c r="H218" t="s">
        <v>3523</v>
      </c>
      <c r="I218" s="15"/>
      <c r="J218" s="14"/>
      <c r="K218" s="15"/>
      <c r="M218" s="14"/>
      <c r="N218">
        <v>190</v>
      </c>
    </row>
    <row r="219" spans="1:14" x14ac:dyDescent="0.3">
      <c r="A219">
        <v>218</v>
      </c>
      <c r="B219" s="14" t="s">
        <v>2297</v>
      </c>
      <c r="C219" s="14" t="s">
        <v>181</v>
      </c>
      <c r="D219" s="14" t="s">
        <v>94</v>
      </c>
      <c r="E219" s="14" t="s">
        <v>30</v>
      </c>
      <c r="F219" s="15">
        <v>45261</v>
      </c>
      <c r="G219" s="14" t="s">
        <v>2847</v>
      </c>
      <c r="H219" t="s">
        <v>3523</v>
      </c>
      <c r="I219" s="15"/>
      <c r="J219" s="14"/>
      <c r="K219" s="15"/>
      <c r="M219" s="14"/>
      <c r="N219">
        <v>190</v>
      </c>
    </row>
    <row r="220" spans="1:14" x14ac:dyDescent="0.3">
      <c r="A220">
        <v>219</v>
      </c>
      <c r="B220" s="14" t="s">
        <v>2308</v>
      </c>
      <c r="C220" s="14" t="s">
        <v>191</v>
      </c>
      <c r="D220" s="14" t="s">
        <v>94</v>
      </c>
      <c r="E220" s="14" t="s">
        <v>30</v>
      </c>
      <c r="F220" s="15">
        <v>45261</v>
      </c>
      <c r="G220" s="14" t="s">
        <v>2847</v>
      </c>
      <c r="H220" t="s">
        <v>3523</v>
      </c>
      <c r="I220" s="15"/>
      <c r="J220" s="14"/>
      <c r="K220" s="15"/>
      <c r="M220" s="14"/>
      <c r="N220">
        <v>190</v>
      </c>
    </row>
    <row r="221" spans="1:14" x14ac:dyDescent="0.3">
      <c r="A221">
        <v>220</v>
      </c>
      <c r="B221" s="14" t="s">
        <v>2317</v>
      </c>
      <c r="C221" s="14" t="s">
        <v>198</v>
      </c>
      <c r="D221" s="14" t="s">
        <v>94</v>
      </c>
      <c r="E221" s="14" t="s">
        <v>30</v>
      </c>
      <c r="F221" s="15">
        <v>45261</v>
      </c>
      <c r="G221" s="14" t="s">
        <v>2847</v>
      </c>
      <c r="H221" t="s">
        <v>3523</v>
      </c>
      <c r="I221" s="15"/>
      <c r="J221" s="14"/>
      <c r="K221" s="15"/>
      <c r="M221" s="14"/>
      <c r="N221">
        <v>190</v>
      </c>
    </row>
    <row r="222" spans="1:14" x14ac:dyDescent="0.3">
      <c r="A222">
        <v>221</v>
      </c>
      <c r="B222" s="14" t="s">
        <v>2318</v>
      </c>
      <c r="C222" s="14" t="s">
        <v>2112</v>
      </c>
      <c r="D222" s="14" t="s">
        <v>94</v>
      </c>
      <c r="E222" s="14" t="s">
        <v>30</v>
      </c>
      <c r="F222" s="15">
        <v>45261</v>
      </c>
      <c r="G222" s="14" t="s">
        <v>2847</v>
      </c>
      <c r="H222" t="s">
        <v>3523</v>
      </c>
      <c r="I222" s="15"/>
      <c r="J222" s="14"/>
      <c r="K222" s="15"/>
      <c r="M222" s="14"/>
      <c r="N222">
        <v>190</v>
      </c>
    </row>
    <row r="223" spans="1:14" x14ac:dyDescent="0.3">
      <c r="A223">
        <v>222</v>
      </c>
      <c r="B223" s="14" t="s">
        <v>2315</v>
      </c>
      <c r="C223" s="14" t="s">
        <v>196</v>
      </c>
      <c r="D223" s="14" t="s">
        <v>94</v>
      </c>
      <c r="E223" s="14" t="s">
        <v>30</v>
      </c>
      <c r="F223" s="15">
        <v>45261</v>
      </c>
      <c r="G223" s="14" t="s">
        <v>2848</v>
      </c>
      <c r="H223" t="s">
        <v>3523</v>
      </c>
      <c r="I223" s="15"/>
      <c r="J223" s="14"/>
      <c r="K223" s="15"/>
      <c r="M223" s="14"/>
      <c r="N223">
        <v>190</v>
      </c>
    </row>
    <row r="224" spans="1:14" x14ac:dyDescent="0.3">
      <c r="A224">
        <v>223</v>
      </c>
      <c r="B224" s="14" t="s">
        <v>2309</v>
      </c>
      <c r="C224" s="14" t="s">
        <v>192</v>
      </c>
      <c r="D224" s="14" t="s">
        <v>94</v>
      </c>
      <c r="E224" s="14" t="s">
        <v>30</v>
      </c>
      <c r="F224" s="15">
        <v>45261</v>
      </c>
      <c r="G224" s="14" t="s">
        <v>2847</v>
      </c>
      <c r="H224" t="s">
        <v>3523</v>
      </c>
      <c r="I224" s="15"/>
      <c r="J224" s="14"/>
      <c r="K224" s="15"/>
      <c r="M224" s="14"/>
      <c r="N224">
        <v>190</v>
      </c>
    </row>
    <row r="225" spans="1:14" x14ac:dyDescent="0.3">
      <c r="A225">
        <v>224</v>
      </c>
      <c r="B225" s="14" t="s">
        <v>2314</v>
      </c>
      <c r="C225" s="14" t="s">
        <v>195</v>
      </c>
      <c r="D225" s="14" t="s">
        <v>94</v>
      </c>
      <c r="E225" s="14" t="s">
        <v>30</v>
      </c>
      <c r="F225" s="15">
        <v>45261</v>
      </c>
      <c r="G225" s="14" t="s">
        <v>2847</v>
      </c>
      <c r="H225" t="s">
        <v>3523</v>
      </c>
      <c r="I225" s="15"/>
      <c r="J225" s="14"/>
      <c r="K225" s="15"/>
      <c r="M225" s="14"/>
      <c r="N225">
        <v>190</v>
      </c>
    </row>
    <row r="226" spans="1:14" x14ac:dyDescent="0.3">
      <c r="A226">
        <v>225</v>
      </c>
      <c r="B226" s="14" t="s">
        <v>2250</v>
      </c>
      <c r="C226" s="14" t="s">
        <v>2097</v>
      </c>
      <c r="D226" s="14" t="s">
        <v>94</v>
      </c>
      <c r="E226" s="14" t="s">
        <v>30</v>
      </c>
      <c r="F226" s="15">
        <v>45292</v>
      </c>
      <c r="G226" s="14" t="s">
        <v>2848</v>
      </c>
      <c r="H226" t="s">
        <v>3500</v>
      </c>
      <c r="I226" s="15">
        <v>45292</v>
      </c>
      <c r="J226" s="14" t="s">
        <v>3521</v>
      </c>
      <c r="K226" s="15"/>
      <c r="M226" s="14" t="s">
        <v>3477</v>
      </c>
      <c r="N226">
        <v>0</v>
      </c>
    </row>
    <row r="227" spans="1:14" x14ac:dyDescent="0.3">
      <c r="A227">
        <v>226</v>
      </c>
      <c r="B227" s="14" t="s">
        <v>2333</v>
      </c>
      <c r="C227" s="14" t="s">
        <v>203</v>
      </c>
      <c r="D227" s="14" t="s">
        <v>94</v>
      </c>
      <c r="E227" s="14" t="s">
        <v>30</v>
      </c>
      <c r="F227" s="15">
        <v>45292</v>
      </c>
      <c r="G227" s="14" t="s">
        <v>2848</v>
      </c>
      <c r="H227" t="s">
        <v>3500</v>
      </c>
      <c r="I227" s="15">
        <v>45292</v>
      </c>
      <c r="J227" s="14" t="s">
        <v>3521</v>
      </c>
      <c r="K227" s="15"/>
      <c r="M227" s="14" t="s">
        <v>3477</v>
      </c>
      <c r="N227">
        <v>0</v>
      </c>
    </row>
    <row r="228" spans="1:14" x14ac:dyDescent="0.3">
      <c r="A228">
        <v>227</v>
      </c>
      <c r="B228" s="14" t="s">
        <v>2240</v>
      </c>
      <c r="C228" s="14" t="s">
        <v>141</v>
      </c>
      <c r="D228" s="14" t="s">
        <v>94</v>
      </c>
      <c r="E228" s="14" t="s">
        <v>30</v>
      </c>
      <c r="F228" s="15">
        <v>45292</v>
      </c>
      <c r="G228" s="14" t="s">
        <v>2849</v>
      </c>
      <c r="H228" t="s">
        <v>3500</v>
      </c>
      <c r="I228" s="15">
        <v>45292</v>
      </c>
      <c r="J228" s="14" t="s">
        <v>3521</v>
      </c>
      <c r="K228" s="15"/>
      <c r="M228" s="14" t="s">
        <v>3477</v>
      </c>
      <c r="N228">
        <v>0</v>
      </c>
    </row>
    <row r="229" spans="1:14" x14ac:dyDescent="0.3">
      <c r="A229">
        <v>228</v>
      </c>
      <c r="B229" s="14" t="s">
        <v>2255</v>
      </c>
      <c r="C229" s="14" t="s">
        <v>151</v>
      </c>
      <c r="D229" s="14" t="s">
        <v>94</v>
      </c>
      <c r="E229" s="14" t="s">
        <v>30</v>
      </c>
      <c r="F229" s="15">
        <v>45292</v>
      </c>
      <c r="G229" s="14" t="s">
        <v>2848</v>
      </c>
      <c r="H229" t="s">
        <v>3500</v>
      </c>
      <c r="I229" s="15">
        <v>45292</v>
      </c>
      <c r="J229" s="14" t="s">
        <v>3521</v>
      </c>
      <c r="K229" s="15"/>
      <c r="M229" s="14" t="s">
        <v>3477</v>
      </c>
      <c r="N229">
        <v>0</v>
      </c>
    </row>
    <row r="230" spans="1:14" x14ac:dyDescent="0.3">
      <c r="A230">
        <v>229</v>
      </c>
      <c r="B230" s="14" t="s">
        <v>2228</v>
      </c>
      <c r="C230" s="14" t="s">
        <v>132</v>
      </c>
      <c r="D230" s="14" t="s">
        <v>94</v>
      </c>
      <c r="E230" s="14" t="s">
        <v>30</v>
      </c>
      <c r="F230" s="15">
        <v>45292</v>
      </c>
      <c r="G230" s="14" t="s">
        <v>2848</v>
      </c>
      <c r="H230" t="s">
        <v>3500</v>
      </c>
      <c r="I230" s="15">
        <v>45295</v>
      </c>
      <c r="J230" s="14" t="s">
        <v>3521</v>
      </c>
      <c r="K230" s="15"/>
      <c r="M230" s="14" t="s">
        <v>3477</v>
      </c>
      <c r="N230">
        <v>3</v>
      </c>
    </row>
    <row r="231" spans="1:14" x14ac:dyDescent="0.3">
      <c r="A231">
        <v>230</v>
      </c>
      <c r="B231" s="14" t="s">
        <v>2515</v>
      </c>
      <c r="C231" s="14" t="s">
        <v>316</v>
      </c>
      <c r="D231" s="14" t="s">
        <v>94</v>
      </c>
      <c r="E231" s="14" t="s">
        <v>30</v>
      </c>
      <c r="F231" s="15">
        <v>45352</v>
      </c>
      <c r="G231" s="14" t="s">
        <v>2848</v>
      </c>
      <c r="H231" t="s">
        <v>3500</v>
      </c>
      <c r="I231" s="15">
        <v>45358</v>
      </c>
      <c r="J231" s="14" t="s">
        <v>3521</v>
      </c>
      <c r="K231" s="15"/>
      <c r="M231" s="14" t="s">
        <v>3477</v>
      </c>
      <c r="N231">
        <v>6</v>
      </c>
    </row>
    <row r="232" spans="1:14" x14ac:dyDescent="0.3">
      <c r="A232">
        <v>231</v>
      </c>
      <c r="B232" s="14" t="s">
        <v>2514</v>
      </c>
      <c r="C232" s="14" t="s">
        <v>315</v>
      </c>
      <c r="D232" s="14" t="s">
        <v>94</v>
      </c>
      <c r="E232" s="14" t="s">
        <v>30</v>
      </c>
      <c r="F232" s="15">
        <v>45352</v>
      </c>
      <c r="G232" s="14" t="s">
        <v>3539</v>
      </c>
      <c r="H232" t="s">
        <v>3500</v>
      </c>
      <c r="I232" s="15">
        <v>45358</v>
      </c>
      <c r="J232" s="14" t="s">
        <v>3521</v>
      </c>
      <c r="K232" s="15"/>
      <c r="M232" s="14" t="s">
        <v>3477</v>
      </c>
      <c r="N232">
        <v>6</v>
      </c>
    </row>
    <row r="233" spans="1:14" x14ac:dyDescent="0.3">
      <c r="A233">
        <v>232</v>
      </c>
      <c r="B233" s="14" t="s">
        <v>2354</v>
      </c>
      <c r="C233" s="14" t="s">
        <v>222</v>
      </c>
      <c r="D233" s="14" t="s">
        <v>94</v>
      </c>
      <c r="E233" s="14" t="s">
        <v>30</v>
      </c>
      <c r="F233" s="15">
        <v>45294</v>
      </c>
      <c r="G233" s="14" t="s">
        <v>2847</v>
      </c>
      <c r="H233" t="s">
        <v>3500</v>
      </c>
      <c r="I233" s="15">
        <v>45308</v>
      </c>
      <c r="J233" s="14" t="s">
        <v>3521</v>
      </c>
      <c r="K233" s="15"/>
      <c r="M233" s="14" t="s">
        <v>3477</v>
      </c>
      <c r="N233">
        <v>14</v>
      </c>
    </row>
    <row r="234" spans="1:14" x14ac:dyDescent="0.3">
      <c r="A234">
        <v>233</v>
      </c>
      <c r="B234" s="14" t="s">
        <v>2353</v>
      </c>
      <c r="C234" s="14" t="s">
        <v>221</v>
      </c>
      <c r="D234" s="14" t="s">
        <v>94</v>
      </c>
      <c r="E234" s="14" t="s">
        <v>30</v>
      </c>
      <c r="F234" s="15">
        <v>45294</v>
      </c>
      <c r="G234" s="14" t="s">
        <v>2847</v>
      </c>
      <c r="H234" t="s">
        <v>3500</v>
      </c>
      <c r="I234" s="15">
        <v>45308</v>
      </c>
      <c r="J234" s="14" t="s">
        <v>3521</v>
      </c>
      <c r="K234" s="15"/>
      <c r="M234" s="14" t="s">
        <v>3477</v>
      </c>
      <c r="N234">
        <v>14</v>
      </c>
    </row>
    <row r="235" spans="1:14" x14ac:dyDescent="0.3">
      <c r="A235">
        <v>234</v>
      </c>
      <c r="B235" s="14" t="s">
        <v>2756</v>
      </c>
      <c r="C235" s="14" t="s">
        <v>514</v>
      </c>
      <c r="D235" s="14" t="s">
        <v>94</v>
      </c>
      <c r="E235" s="14" t="s">
        <v>30</v>
      </c>
      <c r="F235" s="15">
        <v>45407</v>
      </c>
      <c r="G235" s="14" t="s">
        <v>2847</v>
      </c>
      <c r="H235" t="s">
        <v>3524</v>
      </c>
      <c r="I235" s="15"/>
      <c r="J235" s="14" t="s">
        <v>3521</v>
      </c>
      <c r="K235" s="15"/>
      <c r="M235" s="14"/>
    </row>
    <row r="236" spans="1:14" x14ac:dyDescent="0.3">
      <c r="A236">
        <v>235</v>
      </c>
      <c r="B236" s="14" t="s">
        <v>2256</v>
      </c>
      <c r="C236" s="14" t="s">
        <v>152</v>
      </c>
      <c r="D236" s="14" t="s">
        <v>94</v>
      </c>
      <c r="E236" s="14" t="s">
        <v>30</v>
      </c>
      <c r="F236" s="15">
        <v>45292</v>
      </c>
      <c r="G236" s="14" t="s">
        <v>2848</v>
      </c>
      <c r="H236" t="s">
        <v>3524</v>
      </c>
      <c r="I236" s="15"/>
      <c r="J236" s="14" t="s">
        <v>3521</v>
      </c>
      <c r="K236" s="15"/>
      <c r="M236" s="14"/>
    </row>
    <row r="237" spans="1:14" x14ac:dyDescent="0.3">
      <c r="A237">
        <v>236</v>
      </c>
      <c r="B237" s="14" t="s">
        <v>2230</v>
      </c>
      <c r="C237" s="14" t="s">
        <v>2089</v>
      </c>
      <c r="D237" s="14" t="s">
        <v>94</v>
      </c>
      <c r="E237" s="14" t="s">
        <v>30</v>
      </c>
      <c r="F237" s="15">
        <v>45292</v>
      </c>
      <c r="G237" s="14" t="s">
        <v>2845</v>
      </c>
      <c r="H237" t="s">
        <v>3524</v>
      </c>
      <c r="I237" s="15"/>
      <c r="J237" s="14" t="s">
        <v>3521</v>
      </c>
      <c r="K237" s="15"/>
      <c r="M237" s="14"/>
    </row>
    <row r="238" spans="1:14" x14ac:dyDescent="0.3">
      <c r="A238">
        <v>237</v>
      </c>
      <c r="B238" s="14" t="s">
        <v>2269</v>
      </c>
      <c r="C238" s="14" t="s">
        <v>160</v>
      </c>
      <c r="D238" s="14" t="s">
        <v>94</v>
      </c>
      <c r="E238" s="14" t="s">
        <v>30</v>
      </c>
      <c r="F238" s="15">
        <v>45292</v>
      </c>
      <c r="G238" s="14" t="s">
        <v>2848</v>
      </c>
      <c r="H238" t="s">
        <v>3524</v>
      </c>
      <c r="I238" s="15"/>
      <c r="J238" s="14" t="s">
        <v>3521</v>
      </c>
      <c r="K238" s="15"/>
      <c r="M238" s="14"/>
    </row>
    <row r="239" spans="1:14" x14ac:dyDescent="0.3">
      <c r="A239">
        <v>238</v>
      </c>
      <c r="B239" s="14" t="s">
        <v>2708</v>
      </c>
      <c r="C239" s="14" t="s">
        <v>471</v>
      </c>
      <c r="D239" s="14" t="s">
        <v>94</v>
      </c>
      <c r="E239" s="14" t="s">
        <v>30</v>
      </c>
      <c r="F239" s="15">
        <v>45404</v>
      </c>
      <c r="G239" s="14" t="s">
        <v>3539</v>
      </c>
      <c r="H239" t="s">
        <v>3524</v>
      </c>
      <c r="I239" s="15"/>
      <c r="J239" s="14" t="s">
        <v>3521</v>
      </c>
      <c r="K239" s="15"/>
      <c r="M239" s="14"/>
    </row>
    <row r="240" spans="1:14" x14ac:dyDescent="0.3">
      <c r="A240">
        <v>239</v>
      </c>
      <c r="B240" s="14" t="s">
        <v>2746</v>
      </c>
      <c r="C240" s="14" t="s">
        <v>506</v>
      </c>
      <c r="D240" s="14" t="s">
        <v>94</v>
      </c>
      <c r="E240" s="14" t="s">
        <v>30</v>
      </c>
      <c r="F240" s="15">
        <v>45406</v>
      </c>
      <c r="G240" s="14" t="s">
        <v>2847</v>
      </c>
      <c r="H240" t="s">
        <v>3524</v>
      </c>
      <c r="I240" s="15"/>
      <c r="J240" s="14" t="s">
        <v>3521</v>
      </c>
      <c r="K240" s="15"/>
      <c r="M240" s="14"/>
    </row>
    <row r="241" spans="1:14" x14ac:dyDescent="0.3">
      <c r="A241">
        <v>240</v>
      </c>
      <c r="B241" s="14" t="s">
        <v>2320</v>
      </c>
      <c r="C241" s="14" t="s">
        <v>200</v>
      </c>
      <c r="D241" s="14" t="s">
        <v>94</v>
      </c>
      <c r="E241" s="14" t="s">
        <v>30</v>
      </c>
      <c r="F241" s="15">
        <v>45292</v>
      </c>
      <c r="G241" s="14" t="s">
        <v>2848</v>
      </c>
      <c r="H241" t="s">
        <v>3524</v>
      </c>
      <c r="I241" s="15"/>
      <c r="J241" s="14" t="s">
        <v>3521</v>
      </c>
      <c r="K241" s="15"/>
      <c r="M241" s="14"/>
    </row>
    <row r="242" spans="1:14" x14ac:dyDescent="0.3">
      <c r="A242">
        <v>241</v>
      </c>
      <c r="B242" s="14" t="s">
        <v>2771</v>
      </c>
      <c r="C242" s="14" t="s">
        <v>528</v>
      </c>
      <c r="D242" s="14" t="s">
        <v>94</v>
      </c>
      <c r="E242" s="14" t="s">
        <v>30</v>
      </c>
      <c r="F242" s="15">
        <v>45407</v>
      </c>
      <c r="G242" s="14" t="s">
        <v>2847</v>
      </c>
      <c r="H242" t="s">
        <v>3524</v>
      </c>
      <c r="I242" s="15"/>
      <c r="J242" s="14" t="s">
        <v>3521</v>
      </c>
      <c r="K242" s="15"/>
      <c r="M242" s="14"/>
    </row>
    <row r="243" spans="1:14" x14ac:dyDescent="0.3">
      <c r="A243">
        <v>242</v>
      </c>
      <c r="B243" s="14" t="s">
        <v>2770</v>
      </c>
      <c r="C243" s="14" t="s">
        <v>509</v>
      </c>
      <c r="D243" s="14" t="s">
        <v>94</v>
      </c>
      <c r="E243" s="14" t="s">
        <v>30</v>
      </c>
      <c r="F243" s="15">
        <v>45407</v>
      </c>
      <c r="G243" s="14" t="s">
        <v>2847</v>
      </c>
      <c r="H243" t="s">
        <v>3524</v>
      </c>
      <c r="I243" s="15"/>
      <c r="J243" s="14" t="s">
        <v>3521</v>
      </c>
      <c r="K243" s="15"/>
      <c r="M243" s="14"/>
    </row>
    <row r="244" spans="1:14" x14ac:dyDescent="0.3">
      <c r="A244">
        <v>243</v>
      </c>
      <c r="B244" s="14" t="s">
        <v>2739</v>
      </c>
      <c r="C244" s="14" t="s">
        <v>500</v>
      </c>
      <c r="D244" s="14" t="s">
        <v>94</v>
      </c>
      <c r="E244" s="14" t="s">
        <v>30</v>
      </c>
      <c r="F244" s="15">
        <v>45406</v>
      </c>
      <c r="G244" s="14" t="s">
        <v>2847</v>
      </c>
      <c r="H244" t="s">
        <v>3524</v>
      </c>
      <c r="I244" s="15"/>
      <c r="J244" s="14" t="s">
        <v>3521</v>
      </c>
      <c r="K244" s="15"/>
      <c r="M244" s="14"/>
    </row>
    <row r="245" spans="1:14" x14ac:dyDescent="0.3">
      <c r="A245">
        <v>244</v>
      </c>
      <c r="B245" s="14" t="s">
        <v>2777</v>
      </c>
      <c r="C245" s="14" t="s">
        <v>532</v>
      </c>
      <c r="D245" s="14" t="s">
        <v>94</v>
      </c>
      <c r="E245" s="14" t="s">
        <v>30</v>
      </c>
      <c r="F245" s="15">
        <v>45409</v>
      </c>
      <c r="G245" s="14" t="s">
        <v>2847</v>
      </c>
      <c r="H245" t="s">
        <v>3524</v>
      </c>
      <c r="I245" s="15"/>
      <c r="J245" s="14" t="s">
        <v>3521</v>
      </c>
      <c r="K245" s="15"/>
      <c r="M245" s="14"/>
    </row>
    <row r="246" spans="1:14" x14ac:dyDescent="0.3">
      <c r="A246">
        <v>245</v>
      </c>
      <c r="B246" s="14" t="s">
        <v>2273</v>
      </c>
      <c r="C246" s="14" t="s">
        <v>164</v>
      </c>
      <c r="D246" s="14" t="s">
        <v>94</v>
      </c>
      <c r="E246" s="14" t="s">
        <v>30</v>
      </c>
      <c r="F246" s="15">
        <v>45292</v>
      </c>
      <c r="G246" s="14" t="s">
        <v>2847</v>
      </c>
      <c r="H246" t="s">
        <v>3524</v>
      </c>
      <c r="I246" s="15"/>
      <c r="J246" s="14" t="s">
        <v>3521</v>
      </c>
      <c r="K246" s="15"/>
      <c r="M246" s="14"/>
    </row>
    <row r="247" spans="1:14" x14ac:dyDescent="0.3">
      <c r="A247">
        <v>246</v>
      </c>
      <c r="B247" s="14" t="s">
        <v>2734</v>
      </c>
      <c r="C247" s="14" t="s">
        <v>495</v>
      </c>
      <c r="D247" s="14" t="s">
        <v>94</v>
      </c>
      <c r="E247" s="14" t="s">
        <v>30</v>
      </c>
      <c r="F247" s="15">
        <v>45405</v>
      </c>
      <c r="G247" s="14" t="s">
        <v>2847</v>
      </c>
      <c r="H247" t="s">
        <v>3524</v>
      </c>
      <c r="I247" s="15"/>
      <c r="J247" s="14" t="s">
        <v>3521</v>
      </c>
      <c r="K247" s="15"/>
      <c r="M247" s="14"/>
    </row>
    <row r="248" spans="1:14" x14ac:dyDescent="0.3">
      <c r="A248">
        <v>247</v>
      </c>
      <c r="B248" s="14" t="s">
        <v>2764</v>
      </c>
      <c r="C248" s="14" t="s">
        <v>522</v>
      </c>
      <c r="D248" s="14" t="s">
        <v>94</v>
      </c>
      <c r="E248" s="14" t="s">
        <v>30</v>
      </c>
      <c r="F248" s="15">
        <v>45407</v>
      </c>
      <c r="G248" s="14" t="s">
        <v>2847</v>
      </c>
      <c r="H248" t="s">
        <v>3524</v>
      </c>
      <c r="I248" s="15"/>
      <c r="J248" s="14" t="s">
        <v>3521</v>
      </c>
      <c r="K248" s="15"/>
      <c r="M248" s="14"/>
    </row>
    <row r="249" spans="1:14" x14ac:dyDescent="0.3">
      <c r="A249">
        <v>248</v>
      </c>
      <c r="B249" s="14" t="s">
        <v>2590</v>
      </c>
      <c r="C249" s="14" t="s">
        <v>2130</v>
      </c>
      <c r="D249" s="14" t="s">
        <v>94</v>
      </c>
      <c r="E249" s="14" t="s">
        <v>30</v>
      </c>
      <c r="F249" s="15">
        <v>45371</v>
      </c>
      <c r="G249" s="14" t="s">
        <v>3539</v>
      </c>
      <c r="H249" t="s">
        <v>3524</v>
      </c>
      <c r="I249" s="15"/>
      <c r="J249" s="14" t="s">
        <v>3521</v>
      </c>
      <c r="K249" s="15"/>
      <c r="M249" s="14"/>
    </row>
    <row r="250" spans="1:14" x14ac:dyDescent="0.3">
      <c r="A250">
        <v>249</v>
      </c>
      <c r="B250" s="14" t="s">
        <v>2730</v>
      </c>
      <c r="C250" s="14" t="s">
        <v>491</v>
      </c>
      <c r="D250" s="14" t="s">
        <v>94</v>
      </c>
      <c r="E250" s="14" t="s">
        <v>30</v>
      </c>
      <c r="F250" s="15">
        <v>45404</v>
      </c>
      <c r="G250" s="14" t="s">
        <v>2847</v>
      </c>
      <c r="H250" t="s">
        <v>3524</v>
      </c>
      <c r="I250" s="15"/>
      <c r="J250" s="14" t="s">
        <v>3521</v>
      </c>
      <c r="K250" s="15"/>
      <c r="M250" s="14"/>
    </row>
    <row r="251" spans="1:14" x14ac:dyDescent="0.3">
      <c r="A251">
        <v>250</v>
      </c>
      <c r="B251" s="14" t="s">
        <v>2725</v>
      </c>
      <c r="C251" s="14" t="s">
        <v>486</v>
      </c>
      <c r="D251" s="14" t="s">
        <v>94</v>
      </c>
      <c r="E251" s="14" t="s">
        <v>30</v>
      </c>
      <c r="F251" s="15">
        <v>45405</v>
      </c>
      <c r="G251" s="14" t="s">
        <v>3539</v>
      </c>
      <c r="H251" t="s">
        <v>3524</v>
      </c>
      <c r="I251" s="15"/>
      <c r="J251" s="14" t="s">
        <v>3521</v>
      </c>
      <c r="K251" s="15"/>
      <c r="M251" s="14"/>
    </row>
    <row r="252" spans="1:14" x14ac:dyDescent="0.3">
      <c r="A252">
        <v>251</v>
      </c>
      <c r="B252" s="14" t="s">
        <v>2750</v>
      </c>
      <c r="C252" s="14" t="s">
        <v>509</v>
      </c>
      <c r="D252" s="14" t="s">
        <v>94</v>
      </c>
      <c r="E252" s="14" t="s">
        <v>30</v>
      </c>
      <c r="F252" s="15">
        <v>45406</v>
      </c>
      <c r="G252" s="14" t="s">
        <v>2847</v>
      </c>
      <c r="H252" t="s">
        <v>3524</v>
      </c>
      <c r="I252" s="15"/>
      <c r="J252" s="14" t="s">
        <v>3521</v>
      </c>
      <c r="K252" s="15"/>
      <c r="M252" s="14"/>
    </row>
    <row r="253" spans="1:14" x14ac:dyDescent="0.3">
      <c r="A253">
        <v>252</v>
      </c>
      <c r="B253" s="14" t="s">
        <v>2751</v>
      </c>
      <c r="C253" s="14" t="s">
        <v>510</v>
      </c>
      <c r="D253" s="14" t="s">
        <v>94</v>
      </c>
      <c r="E253" s="14" t="s">
        <v>30</v>
      </c>
      <c r="F253" s="15">
        <v>45406</v>
      </c>
      <c r="G253" s="14" t="s">
        <v>2847</v>
      </c>
      <c r="H253" t="s">
        <v>3524</v>
      </c>
      <c r="I253" s="15"/>
      <c r="J253" s="14" t="s">
        <v>3521</v>
      </c>
      <c r="K253" s="15"/>
      <c r="M253" s="14"/>
    </row>
    <row r="254" spans="1:14" x14ac:dyDescent="0.3">
      <c r="A254">
        <v>253</v>
      </c>
      <c r="B254" s="14" t="s">
        <v>2260</v>
      </c>
      <c r="C254" s="14" t="s">
        <v>352</v>
      </c>
      <c r="D254" s="14" t="s">
        <v>94</v>
      </c>
      <c r="E254" s="14" t="s">
        <v>30</v>
      </c>
      <c r="F254" s="15">
        <v>45292</v>
      </c>
      <c r="G254" s="14" t="s">
        <v>2845</v>
      </c>
      <c r="H254" t="s">
        <v>3524</v>
      </c>
      <c r="I254" s="15"/>
      <c r="J254" s="14" t="s">
        <v>3521</v>
      </c>
      <c r="K254" s="15"/>
      <c r="M254" s="14"/>
    </row>
    <row r="255" spans="1:14" x14ac:dyDescent="0.3">
      <c r="A255">
        <v>254</v>
      </c>
      <c r="B255" s="14" t="s">
        <v>2749</v>
      </c>
      <c r="C255" s="14" t="s">
        <v>2217</v>
      </c>
      <c r="D255" s="14" t="s">
        <v>94</v>
      </c>
      <c r="E255" s="14" t="s">
        <v>30</v>
      </c>
      <c r="F255" s="15">
        <v>45406</v>
      </c>
      <c r="G255" s="14" t="s">
        <v>2847</v>
      </c>
      <c r="H255" t="s">
        <v>3524</v>
      </c>
      <c r="I255" s="15"/>
      <c r="J255" s="14" t="s">
        <v>3521</v>
      </c>
      <c r="K255" s="15"/>
      <c r="M255" s="14"/>
    </row>
    <row r="256" spans="1:14" x14ac:dyDescent="0.3">
      <c r="A256">
        <v>255</v>
      </c>
      <c r="B256" s="14" t="s">
        <v>2737</v>
      </c>
      <c r="C256" s="14" t="s">
        <v>498</v>
      </c>
      <c r="D256" s="14" t="s">
        <v>98</v>
      </c>
      <c r="E256" s="14" t="s">
        <v>33</v>
      </c>
      <c r="F256" s="15">
        <v>45405</v>
      </c>
      <c r="G256" s="14" t="s">
        <v>2847</v>
      </c>
      <c r="H256" t="s">
        <v>3500</v>
      </c>
      <c r="I256" s="15">
        <v>45406</v>
      </c>
      <c r="J256" s="14"/>
      <c r="K256" s="15"/>
      <c r="M256" s="14"/>
      <c r="N256">
        <v>46</v>
      </c>
    </row>
    <row r="257" spans="1:14" x14ac:dyDescent="0.3">
      <c r="A257">
        <v>256</v>
      </c>
      <c r="B257" s="14" t="s">
        <v>2697</v>
      </c>
      <c r="C257" s="14" t="s">
        <v>232</v>
      </c>
      <c r="D257" s="14" t="s">
        <v>98</v>
      </c>
      <c r="E257" s="14" t="s">
        <v>33</v>
      </c>
      <c r="F257" s="15">
        <v>45404</v>
      </c>
      <c r="G257" s="14" t="s">
        <v>2847</v>
      </c>
      <c r="H257" t="s">
        <v>3500</v>
      </c>
      <c r="I257" s="15">
        <v>45406</v>
      </c>
      <c r="J257" s="14"/>
      <c r="K257" s="15"/>
      <c r="M257" s="14"/>
      <c r="N257">
        <v>47</v>
      </c>
    </row>
    <row r="258" spans="1:14" x14ac:dyDescent="0.3">
      <c r="A258">
        <v>257</v>
      </c>
      <c r="B258" s="14" t="s">
        <v>2677</v>
      </c>
      <c r="C258" s="14" t="s">
        <v>444</v>
      </c>
      <c r="D258" s="14" t="s">
        <v>98</v>
      </c>
      <c r="E258" s="14" t="s">
        <v>33</v>
      </c>
      <c r="F258" s="15">
        <v>45400</v>
      </c>
      <c r="G258" s="14" t="s">
        <v>2847</v>
      </c>
      <c r="H258" t="s">
        <v>3500</v>
      </c>
      <c r="I258" s="15">
        <v>45407</v>
      </c>
      <c r="J258" s="14"/>
      <c r="K258" s="15"/>
      <c r="M258" s="14"/>
      <c r="N258">
        <v>51</v>
      </c>
    </row>
    <row r="259" spans="1:14" x14ac:dyDescent="0.3">
      <c r="A259">
        <v>258</v>
      </c>
      <c r="B259" s="14" t="s">
        <v>2225</v>
      </c>
      <c r="C259" s="14" t="s">
        <v>129</v>
      </c>
      <c r="D259" s="14" t="s">
        <v>98</v>
      </c>
      <c r="E259" s="14" t="s">
        <v>33</v>
      </c>
      <c r="F259" s="15">
        <v>45292</v>
      </c>
      <c r="G259" s="14" t="s">
        <v>2846</v>
      </c>
      <c r="H259" t="s">
        <v>3500</v>
      </c>
      <c r="I259" s="15">
        <v>45292</v>
      </c>
      <c r="J259" s="14"/>
      <c r="K259" s="15"/>
      <c r="M259" s="14"/>
      <c r="N259">
        <v>159</v>
      </c>
    </row>
    <row r="260" spans="1:14" x14ac:dyDescent="0.3">
      <c r="A260">
        <v>259</v>
      </c>
      <c r="B260" s="14" t="s">
        <v>2788</v>
      </c>
      <c r="C260" s="14" t="s">
        <v>543</v>
      </c>
      <c r="D260" s="14" t="s">
        <v>98</v>
      </c>
      <c r="E260" s="14" t="s">
        <v>33</v>
      </c>
      <c r="F260" s="15">
        <v>45411</v>
      </c>
      <c r="G260" s="14" t="s">
        <v>2847</v>
      </c>
      <c r="H260" t="s">
        <v>3523</v>
      </c>
      <c r="I260" s="15"/>
      <c r="J260" s="14"/>
      <c r="K260" s="15"/>
      <c r="M260" s="14"/>
      <c r="N260">
        <v>40</v>
      </c>
    </row>
    <row r="261" spans="1:14" x14ac:dyDescent="0.3">
      <c r="A261">
        <v>260</v>
      </c>
      <c r="B261" s="14" t="s">
        <v>2727</v>
      </c>
      <c r="C261" s="14" t="s">
        <v>488</v>
      </c>
      <c r="D261" s="14" t="s">
        <v>98</v>
      </c>
      <c r="E261" s="14" t="s">
        <v>33</v>
      </c>
      <c r="F261" s="15">
        <v>45406</v>
      </c>
      <c r="G261" s="14" t="s">
        <v>3539</v>
      </c>
      <c r="H261" t="s">
        <v>3523</v>
      </c>
      <c r="I261" s="15"/>
      <c r="J261" s="14"/>
      <c r="K261" s="15"/>
      <c r="M261" s="14"/>
      <c r="N261">
        <v>45</v>
      </c>
    </row>
    <row r="262" spans="1:14" x14ac:dyDescent="0.3">
      <c r="A262">
        <v>261</v>
      </c>
      <c r="B262" s="14" t="s">
        <v>2723</v>
      </c>
      <c r="C262" s="14" t="s">
        <v>484</v>
      </c>
      <c r="D262" s="14" t="s">
        <v>98</v>
      </c>
      <c r="E262" s="14" t="s">
        <v>33</v>
      </c>
      <c r="F262" s="15">
        <v>45405</v>
      </c>
      <c r="G262" s="14" t="s">
        <v>3539</v>
      </c>
      <c r="H262" t="s">
        <v>3523</v>
      </c>
      <c r="I262" s="15"/>
      <c r="J262" s="14"/>
      <c r="K262" s="15"/>
      <c r="M262" s="14"/>
      <c r="N262">
        <v>46</v>
      </c>
    </row>
    <row r="263" spans="1:14" x14ac:dyDescent="0.3">
      <c r="A263">
        <v>262</v>
      </c>
      <c r="B263" s="14" t="s">
        <v>2706</v>
      </c>
      <c r="C263" s="14" t="s">
        <v>469</v>
      </c>
      <c r="D263" s="14" t="s">
        <v>98</v>
      </c>
      <c r="E263" s="14" t="s">
        <v>33</v>
      </c>
      <c r="F263" s="15">
        <v>45402</v>
      </c>
      <c r="G263" s="14" t="s">
        <v>3539</v>
      </c>
      <c r="H263" t="s">
        <v>3523</v>
      </c>
      <c r="I263" s="15"/>
      <c r="J263" s="14"/>
      <c r="K263" s="15"/>
      <c r="M263" s="14"/>
      <c r="N263">
        <v>49</v>
      </c>
    </row>
    <row r="264" spans="1:14" x14ac:dyDescent="0.3">
      <c r="A264">
        <v>263</v>
      </c>
      <c r="B264" s="14" t="s">
        <v>2700</v>
      </c>
      <c r="C264" s="14" t="s">
        <v>463</v>
      </c>
      <c r="D264" s="14" t="s">
        <v>98</v>
      </c>
      <c r="E264" s="14" t="s">
        <v>33</v>
      </c>
      <c r="F264" s="15">
        <v>45400</v>
      </c>
      <c r="G264" s="14" t="s">
        <v>3539</v>
      </c>
      <c r="H264" t="s">
        <v>3523</v>
      </c>
      <c r="I264" s="15"/>
      <c r="J264" s="14"/>
      <c r="K264" s="15"/>
      <c r="M264" s="14"/>
      <c r="N264">
        <v>51</v>
      </c>
    </row>
    <row r="265" spans="1:14" x14ac:dyDescent="0.3">
      <c r="A265">
        <v>264</v>
      </c>
      <c r="B265" s="14" t="s">
        <v>2679</v>
      </c>
      <c r="C265" s="14" t="s">
        <v>446</v>
      </c>
      <c r="D265" s="14" t="s">
        <v>98</v>
      </c>
      <c r="E265" s="14" t="s">
        <v>33</v>
      </c>
      <c r="F265" s="15">
        <v>45400</v>
      </c>
      <c r="G265" s="14" t="s">
        <v>2847</v>
      </c>
      <c r="H265" t="s">
        <v>3523</v>
      </c>
      <c r="I265" s="15"/>
      <c r="J265" s="14"/>
      <c r="K265" s="15"/>
      <c r="M265" s="14"/>
      <c r="N265">
        <v>51</v>
      </c>
    </row>
    <row r="266" spans="1:14" x14ac:dyDescent="0.3">
      <c r="A266">
        <v>265</v>
      </c>
      <c r="B266" s="14" t="s">
        <v>2422</v>
      </c>
      <c r="C266" s="14" t="s">
        <v>2163</v>
      </c>
      <c r="D266" s="14" t="s">
        <v>98</v>
      </c>
      <c r="E266" s="14" t="s">
        <v>33</v>
      </c>
      <c r="F266" s="15">
        <v>45310</v>
      </c>
      <c r="G266" s="14" t="s">
        <v>2847</v>
      </c>
      <c r="H266" t="s">
        <v>3523</v>
      </c>
      <c r="I266" s="15"/>
      <c r="J266" s="14"/>
      <c r="K266" s="15"/>
      <c r="M266" s="14"/>
      <c r="N266">
        <v>141</v>
      </c>
    </row>
    <row r="267" spans="1:14" x14ac:dyDescent="0.3">
      <c r="A267">
        <v>266</v>
      </c>
      <c r="B267" s="14" t="s">
        <v>2415</v>
      </c>
      <c r="C267" s="14" t="s">
        <v>2156</v>
      </c>
      <c r="D267" s="14" t="s">
        <v>98</v>
      </c>
      <c r="E267" s="14" t="s">
        <v>33</v>
      </c>
      <c r="F267" s="15">
        <v>45307</v>
      </c>
      <c r="G267" s="14" t="s">
        <v>2847</v>
      </c>
      <c r="H267" t="s">
        <v>3523</v>
      </c>
      <c r="I267" s="15"/>
      <c r="J267" s="14"/>
      <c r="K267" s="15"/>
      <c r="M267" s="14"/>
      <c r="N267">
        <v>144</v>
      </c>
    </row>
    <row r="268" spans="1:14" x14ac:dyDescent="0.3">
      <c r="A268">
        <v>267</v>
      </c>
      <c r="B268" s="14" t="s">
        <v>2783</v>
      </c>
      <c r="C268" s="14" t="s">
        <v>538</v>
      </c>
      <c r="D268" s="14" t="s">
        <v>98</v>
      </c>
      <c r="E268" s="14" t="s">
        <v>33</v>
      </c>
      <c r="F268" s="15">
        <v>45410</v>
      </c>
      <c r="G268" s="14" t="s">
        <v>3539</v>
      </c>
      <c r="H268" t="s">
        <v>3524</v>
      </c>
      <c r="I268" s="15"/>
      <c r="J268" s="14" t="s">
        <v>3521</v>
      </c>
      <c r="K268" s="15"/>
      <c r="M268" s="14"/>
    </row>
    <row r="269" spans="1:14" x14ac:dyDescent="0.3">
      <c r="A269">
        <v>268</v>
      </c>
      <c r="B269" s="14" t="s">
        <v>2653</v>
      </c>
      <c r="C269" s="14" t="s">
        <v>421</v>
      </c>
      <c r="D269" s="14" t="s">
        <v>98</v>
      </c>
      <c r="E269" s="14" t="s">
        <v>33</v>
      </c>
      <c r="F269" s="15">
        <v>45396</v>
      </c>
      <c r="G269" s="14" t="s">
        <v>2847</v>
      </c>
      <c r="H269" t="s">
        <v>3524</v>
      </c>
      <c r="I269" s="15"/>
      <c r="J269" s="14" t="s">
        <v>3521</v>
      </c>
      <c r="K269" s="15"/>
      <c r="M269" s="14"/>
    </row>
    <row r="270" spans="1:14" x14ac:dyDescent="0.3">
      <c r="A270">
        <v>269</v>
      </c>
      <c r="B270" s="14" t="s">
        <v>2768</v>
      </c>
      <c r="C270" s="14" t="s">
        <v>526</v>
      </c>
      <c r="D270" s="14" t="s">
        <v>98</v>
      </c>
      <c r="E270" s="14" t="s">
        <v>33</v>
      </c>
      <c r="F270" s="15">
        <v>45407</v>
      </c>
      <c r="G270" s="14" t="s">
        <v>2847</v>
      </c>
      <c r="H270" t="s">
        <v>3524</v>
      </c>
      <c r="I270" s="15"/>
      <c r="J270" s="14" t="s">
        <v>3521</v>
      </c>
      <c r="K270" s="15"/>
      <c r="M270" s="14"/>
    </row>
    <row r="271" spans="1:14" x14ac:dyDescent="0.3">
      <c r="A271">
        <v>270</v>
      </c>
      <c r="B271" s="14" t="s">
        <v>2695</v>
      </c>
      <c r="C271" s="14" t="s">
        <v>460</v>
      </c>
      <c r="D271" s="14" t="s">
        <v>98</v>
      </c>
      <c r="E271" s="14" t="s">
        <v>33</v>
      </c>
      <c r="F271" s="15">
        <v>45404</v>
      </c>
      <c r="G271" s="14" t="s">
        <v>2847</v>
      </c>
      <c r="H271" t="s">
        <v>3524</v>
      </c>
      <c r="I271" s="15"/>
      <c r="J271" s="14" t="s">
        <v>3521</v>
      </c>
      <c r="K271" s="15"/>
      <c r="M271" s="14"/>
    </row>
    <row r="272" spans="1:14" x14ac:dyDescent="0.3">
      <c r="A272">
        <v>271</v>
      </c>
      <c r="B272" s="14" t="s">
        <v>2661</v>
      </c>
      <c r="C272" s="14" t="s">
        <v>429</v>
      </c>
      <c r="D272" s="14" t="s">
        <v>98</v>
      </c>
      <c r="E272" s="14" t="s">
        <v>33</v>
      </c>
      <c r="F272" s="15">
        <v>45400</v>
      </c>
      <c r="G272" s="14" t="s">
        <v>2847</v>
      </c>
      <c r="H272" t="s">
        <v>3524</v>
      </c>
      <c r="I272" s="15"/>
      <c r="J272" s="14" t="s">
        <v>3521</v>
      </c>
      <c r="K272" s="15"/>
      <c r="M272" s="14"/>
    </row>
    <row r="273" spans="1:14" x14ac:dyDescent="0.3">
      <c r="A273">
        <v>272</v>
      </c>
      <c r="B273" s="14" t="s">
        <v>2652</v>
      </c>
      <c r="C273" s="14" t="s">
        <v>420</v>
      </c>
      <c r="D273" s="14" t="s">
        <v>98</v>
      </c>
      <c r="E273" s="14" t="s">
        <v>33</v>
      </c>
      <c r="F273" s="15">
        <v>45394</v>
      </c>
      <c r="G273" s="14" t="s">
        <v>2847</v>
      </c>
      <c r="H273" t="s">
        <v>3524</v>
      </c>
      <c r="I273" s="15"/>
      <c r="J273" s="14" t="s">
        <v>3521</v>
      </c>
      <c r="K273" s="15"/>
      <c r="M273" s="14"/>
    </row>
    <row r="274" spans="1:14" x14ac:dyDescent="0.3">
      <c r="A274">
        <v>273</v>
      </c>
      <c r="B274" s="14" t="s">
        <v>2640</v>
      </c>
      <c r="C274" s="14" t="s">
        <v>409</v>
      </c>
      <c r="D274" s="14" t="s">
        <v>98</v>
      </c>
      <c r="E274" s="14" t="s">
        <v>33</v>
      </c>
      <c r="F274" s="15">
        <v>45387</v>
      </c>
      <c r="G274" s="14" t="s">
        <v>2847</v>
      </c>
      <c r="H274" t="s">
        <v>3524</v>
      </c>
      <c r="I274" s="15"/>
      <c r="J274" s="14" t="s">
        <v>3521</v>
      </c>
      <c r="K274" s="15"/>
      <c r="M274" s="14"/>
    </row>
    <row r="275" spans="1:14" x14ac:dyDescent="0.3">
      <c r="A275">
        <v>274</v>
      </c>
      <c r="B275" s="14" t="s">
        <v>2312</v>
      </c>
      <c r="C275" s="14" t="s">
        <v>194</v>
      </c>
      <c r="D275" s="14" t="s">
        <v>99</v>
      </c>
      <c r="E275" s="14" t="s">
        <v>35</v>
      </c>
      <c r="F275" s="15">
        <v>45292</v>
      </c>
      <c r="G275" s="14" t="s">
        <v>2846</v>
      </c>
      <c r="H275" t="s">
        <v>3501</v>
      </c>
      <c r="I275" s="15">
        <v>45407</v>
      </c>
      <c r="J275" s="14"/>
      <c r="K275" s="15"/>
      <c r="M275" s="14"/>
      <c r="N275">
        <v>159</v>
      </c>
    </row>
    <row r="276" spans="1:14" x14ac:dyDescent="0.3">
      <c r="A276">
        <v>275</v>
      </c>
      <c r="B276" s="14" t="s">
        <v>2735</v>
      </c>
      <c r="C276" s="14" t="s">
        <v>496</v>
      </c>
      <c r="D276" s="14" t="s">
        <v>99</v>
      </c>
      <c r="E276" s="14" t="s">
        <v>35</v>
      </c>
      <c r="F276" s="15">
        <v>45405</v>
      </c>
      <c r="G276" s="14" t="s">
        <v>2847</v>
      </c>
      <c r="H276" t="s">
        <v>3500</v>
      </c>
      <c r="I276" s="15">
        <v>45415</v>
      </c>
      <c r="J276" s="14"/>
      <c r="K276" s="15"/>
      <c r="M276" s="14"/>
      <c r="N276">
        <v>46</v>
      </c>
    </row>
    <row r="277" spans="1:14" x14ac:dyDescent="0.3">
      <c r="A277">
        <v>276</v>
      </c>
      <c r="B277" s="14" t="s">
        <v>2535</v>
      </c>
      <c r="C277" s="14" t="s">
        <v>330</v>
      </c>
      <c r="D277" s="14" t="s">
        <v>99</v>
      </c>
      <c r="E277" s="14" t="s">
        <v>35</v>
      </c>
      <c r="F277" s="15">
        <v>45360</v>
      </c>
      <c r="G277" s="14" t="s">
        <v>2845</v>
      </c>
      <c r="H277" t="s">
        <v>3500</v>
      </c>
      <c r="I277" s="15">
        <v>45365</v>
      </c>
      <c r="J277" s="14"/>
      <c r="K277" s="15"/>
      <c r="M277" s="14"/>
      <c r="N277">
        <v>91</v>
      </c>
    </row>
    <row r="278" spans="1:14" x14ac:dyDescent="0.3">
      <c r="A278">
        <v>277</v>
      </c>
      <c r="B278" s="14" t="s">
        <v>2486</v>
      </c>
      <c r="C278" s="14" t="s">
        <v>294</v>
      </c>
      <c r="D278" s="14" t="s">
        <v>99</v>
      </c>
      <c r="E278" s="14" t="s">
        <v>35</v>
      </c>
      <c r="F278" s="15">
        <v>45344</v>
      </c>
      <c r="G278" s="14" t="s">
        <v>2848</v>
      </c>
      <c r="H278" t="s">
        <v>3500</v>
      </c>
      <c r="I278" s="15">
        <v>45345</v>
      </c>
      <c r="J278" s="14"/>
      <c r="K278" s="15"/>
      <c r="M278" s="14"/>
      <c r="N278">
        <v>107</v>
      </c>
    </row>
    <row r="279" spans="1:14" x14ac:dyDescent="0.3">
      <c r="A279">
        <v>278</v>
      </c>
      <c r="B279" s="14" t="s">
        <v>2477</v>
      </c>
      <c r="C279" s="14" t="s">
        <v>285</v>
      </c>
      <c r="D279" s="14" t="s">
        <v>99</v>
      </c>
      <c r="E279" s="14" t="s">
        <v>35</v>
      </c>
      <c r="F279" s="15">
        <v>45342</v>
      </c>
      <c r="G279" s="14" t="s">
        <v>2848</v>
      </c>
      <c r="H279" t="s">
        <v>3500</v>
      </c>
      <c r="I279" s="15">
        <v>45346</v>
      </c>
      <c r="J279" s="14"/>
      <c r="K279" s="15"/>
      <c r="M279" s="14"/>
      <c r="N279">
        <v>109</v>
      </c>
    </row>
    <row r="280" spans="1:14" x14ac:dyDescent="0.3">
      <c r="A280">
        <v>279</v>
      </c>
      <c r="B280" s="14" t="s">
        <v>2476</v>
      </c>
      <c r="C280" s="14" t="s">
        <v>284</v>
      </c>
      <c r="D280" s="14" t="s">
        <v>99</v>
      </c>
      <c r="E280" s="14" t="s">
        <v>35</v>
      </c>
      <c r="F280" s="15">
        <v>45342</v>
      </c>
      <c r="G280" s="14" t="s">
        <v>2848</v>
      </c>
      <c r="H280" t="s">
        <v>3500</v>
      </c>
      <c r="I280" s="15">
        <v>45346</v>
      </c>
      <c r="J280" s="14"/>
      <c r="K280" s="15"/>
      <c r="M280" s="14"/>
      <c r="N280">
        <v>109</v>
      </c>
    </row>
    <row r="281" spans="1:14" x14ac:dyDescent="0.3">
      <c r="A281">
        <v>280</v>
      </c>
      <c r="B281" s="14" t="s">
        <v>2473</v>
      </c>
      <c r="C281" s="14" t="s">
        <v>282</v>
      </c>
      <c r="D281" s="14" t="s">
        <v>99</v>
      </c>
      <c r="E281" s="14" t="s">
        <v>35</v>
      </c>
      <c r="F281" s="15">
        <v>45338</v>
      </c>
      <c r="G281" s="14" t="s">
        <v>2848</v>
      </c>
      <c r="H281" t="s">
        <v>3500</v>
      </c>
      <c r="I281" s="15">
        <v>45343</v>
      </c>
      <c r="J281" s="14"/>
      <c r="K281" s="15"/>
      <c r="M281" s="14"/>
      <c r="N281">
        <v>113</v>
      </c>
    </row>
    <row r="282" spans="1:14" x14ac:dyDescent="0.3">
      <c r="A282">
        <v>281</v>
      </c>
      <c r="B282" s="14" t="s">
        <v>2462</v>
      </c>
      <c r="C282" s="14" t="s">
        <v>271</v>
      </c>
      <c r="D282" s="14" t="s">
        <v>99</v>
      </c>
      <c r="E282" s="14" t="s">
        <v>35</v>
      </c>
      <c r="F282" s="15">
        <v>45324</v>
      </c>
      <c r="G282" s="14" t="s">
        <v>2848</v>
      </c>
      <c r="H282" t="s">
        <v>3500</v>
      </c>
      <c r="I282" s="15">
        <v>45330</v>
      </c>
      <c r="J282" s="14"/>
      <c r="K282" s="15"/>
      <c r="M282" s="14"/>
      <c r="N282">
        <v>127</v>
      </c>
    </row>
    <row r="283" spans="1:14" x14ac:dyDescent="0.3">
      <c r="A283">
        <v>282</v>
      </c>
      <c r="B283" s="14" t="s">
        <v>2466</v>
      </c>
      <c r="C283" s="14" t="s">
        <v>275</v>
      </c>
      <c r="D283" s="14" t="s">
        <v>99</v>
      </c>
      <c r="E283" s="14" t="s">
        <v>35</v>
      </c>
      <c r="F283" s="15">
        <v>45324</v>
      </c>
      <c r="G283" s="14" t="s">
        <v>2848</v>
      </c>
      <c r="H283" t="s">
        <v>3500</v>
      </c>
      <c r="I283" s="15">
        <v>45330</v>
      </c>
      <c r="J283" s="14"/>
      <c r="K283" s="15"/>
      <c r="M283" s="14"/>
      <c r="N283">
        <v>127</v>
      </c>
    </row>
    <row r="284" spans="1:14" x14ac:dyDescent="0.3">
      <c r="A284">
        <v>283</v>
      </c>
      <c r="B284" s="14" t="s">
        <v>2467</v>
      </c>
      <c r="C284" s="14" t="s">
        <v>276</v>
      </c>
      <c r="D284" s="14" t="s">
        <v>99</v>
      </c>
      <c r="E284" s="14" t="s">
        <v>35</v>
      </c>
      <c r="F284" s="15">
        <v>45324</v>
      </c>
      <c r="G284" s="14" t="s">
        <v>2848</v>
      </c>
      <c r="H284" t="s">
        <v>3500</v>
      </c>
      <c r="I284" s="15">
        <v>45330</v>
      </c>
      <c r="J284" s="14"/>
      <c r="K284" s="15"/>
      <c r="M284" s="14"/>
      <c r="N284">
        <v>127</v>
      </c>
    </row>
    <row r="285" spans="1:14" x14ac:dyDescent="0.3">
      <c r="A285">
        <v>284</v>
      </c>
      <c r="B285" s="14" t="s">
        <v>2461</v>
      </c>
      <c r="C285" s="14" t="s">
        <v>270</v>
      </c>
      <c r="D285" s="14" t="s">
        <v>99</v>
      </c>
      <c r="E285" s="14" t="s">
        <v>35</v>
      </c>
      <c r="F285" s="15">
        <v>45324</v>
      </c>
      <c r="G285" s="14" t="s">
        <v>2848</v>
      </c>
      <c r="H285" t="s">
        <v>3500</v>
      </c>
      <c r="I285" s="15">
        <v>45330</v>
      </c>
      <c r="J285" s="14"/>
      <c r="K285" s="15"/>
      <c r="L285" t="s">
        <v>2851</v>
      </c>
      <c r="M285" s="14"/>
      <c r="N285">
        <v>127</v>
      </c>
    </row>
    <row r="286" spans="1:14" x14ac:dyDescent="0.3">
      <c r="A286">
        <v>285</v>
      </c>
      <c r="B286" s="14" t="s">
        <v>2427</v>
      </c>
      <c r="C286" s="14" t="s">
        <v>2165</v>
      </c>
      <c r="D286" s="14" t="s">
        <v>99</v>
      </c>
      <c r="E286" s="14" t="s">
        <v>35</v>
      </c>
      <c r="F286" s="15">
        <v>45313</v>
      </c>
      <c r="G286" s="14" t="s">
        <v>2846</v>
      </c>
      <c r="H286" t="s">
        <v>3500</v>
      </c>
      <c r="I286" s="15">
        <v>45322</v>
      </c>
      <c r="J286" s="14"/>
      <c r="K286" s="15"/>
      <c r="M286" s="14"/>
      <c r="N286">
        <v>138</v>
      </c>
    </row>
    <row r="287" spans="1:14" x14ac:dyDescent="0.3">
      <c r="A287">
        <v>286</v>
      </c>
      <c r="B287" s="14" t="s">
        <v>2379</v>
      </c>
      <c r="C287" s="14" t="s">
        <v>232</v>
      </c>
      <c r="D287" s="14" t="s">
        <v>99</v>
      </c>
      <c r="E287" s="14" t="s">
        <v>35</v>
      </c>
      <c r="F287" s="15">
        <v>45296</v>
      </c>
      <c r="G287" s="14" t="s">
        <v>2847</v>
      </c>
      <c r="H287" t="s">
        <v>3500</v>
      </c>
      <c r="I287" s="15">
        <v>45406</v>
      </c>
      <c r="J287" s="14"/>
      <c r="K287" s="15"/>
      <c r="M287" s="14"/>
      <c r="N287">
        <v>155</v>
      </c>
    </row>
    <row r="288" spans="1:14" x14ac:dyDescent="0.3">
      <c r="A288">
        <v>287</v>
      </c>
      <c r="B288" s="14" t="s">
        <v>2293</v>
      </c>
      <c r="C288" s="14" t="s">
        <v>178</v>
      </c>
      <c r="D288" s="14" t="s">
        <v>99</v>
      </c>
      <c r="E288" s="14" t="s">
        <v>35</v>
      </c>
      <c r="F288" s="15">
        <v>45292</v>
      </c>
      <c r="G288" s="14" t="s">
        <v>2847</v>
      </c>
      <c r="H288" t="s">
        <v>3500</v>
      </c>
      <c r="I288" s="15">
        <v>45296</v>
      </c>
      <c r="J288" s="14"/>
      <c r="K288" s="15"/>
      <c r="M288" s="14"/>
      <c r="N288">
        <v>159</v>
      </c>
    </row>
    <row r="289" spans="1:14" x14ac:dyDescent="0.3">
      <c r="A289">
        <v>288</v>
      </c>
      <c r="B289" s="14" t="s">
        <v>2292</v>
      </c>
      <c r="C289" s="14" t="s">
        <v>2107</v>
      </c>
      <c r="D289" s="14" t="s">
        <v>99</v>
      </c>
      <c r="E289" s="14" t="s">
        <v>35</v>
      </c>
      <c r="F289" s="15">
        <v>45292</v>
      </c>
      <c r="G289" s="14" t="s">
        <v>2846</v>
      </c>
      <c r="H289" t="s">
        <v>3500</v>
      </c>
      <c r="I289" s="15">
        <v>45296</v>
      </c>
      <c r="J289" s="14"/>
      <c r="K289" s="15"/>
      <c r="M289" s="14"/>
      <c r="N289">
        <v>159</v>
      </c>
    </row>
    <row r="290" spans="1:14" x14ac:dyDescent="0.3">
      <c r="A290">
        <v>289</v>
      </c>
      <c r="B290" s="14" t="s">
        <v>2828</v>
      </c>
      <c r="C290" s="14" t="s">
        <v>581</v>
      </c>
      <c r="D290" s="14" t="s">
        <v>99</v>
      </c>
      <c r="E290" s="14" t="s">
        <v>35</v>
      </c>
      <c r="F290" s="15">
        <v>45416</v>
      </c>
      <c r="G290" s="14" t="s">
        <v>2847</v>
      </c>
      <c r="H290" t="s">
        <v>3524</v>
      </c>
      <c r="I290" s="15"/>
      <c r="J290" s="14"/>
      <c r="K290" s="15"/>
      <c r="M290" s="14"/>
      <c r="N290">
        <v>35</v>
      </c>
    </row>
    <row r="291" spans="1:14" x14ac:dyDescent="0.3">
      <c r="A291">
        <v>290</v>
      </c>
      <c r="B291" s="14" t="s">
        <v>2803</v>
      </c>
      <c r="C291" s="14" t="s">
        <v>556</v>
      </c>
      <c r="D291" s="14" t="s">
        <v>99</v>
      </c>
      <c r="E291" s="14" t="s">
        <v>35</v>
      </c>
      <c r="F291" s="15">
        <v>45414</v>
      </c>
      <c r="G291" s="14" t="s">
        <v>2847</v>
      </c>
      <c r="H291" t="s">
        <v>3524</v>
      </c>
      <c r="I291" s="15"/>
      <c r="J291" s="14"/>
      <c r="K291" s="15"/>
      <c r="M291" s="14"/>
      <c r="N291">
        <v>37</v>
      </c>
    </row>
    <row r="292" spans="1:14" x14ac:dyDescent="0.3">
      <c r="A292">
        <v>291</v>
      </c>
      <c r="B292" s="14" t="s">
        <v>2763</v>
      </c>
      <c r="C292" s="14" t="s">
        <v>521</v>
      </c>
      <c r="D292" s="14" t="s">
        <v>99</v>
      </c>
      <c r="E292" s="14" t="s">
        <v>35</v>
      </c>
      <c r="F292" s="15">
        <v>45407</v>
      </c>
      <c r="G292" s="14" t="s">
        <v>2847</v>
      </c>
      <c r="H292" t="s">
        <v>3524</v>
      </c>
      <c r="I292" s="15"/>
      <c r="J292" s="14"/>
      <c r="K292" s="15"/>
      <c r="M292" s="14"/>
      <c r="N292">
        <v>44</v>
      </c>
    </row>
    <row r="293" spans="1:14" x14ac:dyDescent="0.3">
      <c r="A293">
        <v>292</v>
      </c>
      <c r="B293" s="14" t="s">
        <v>2275</v>
      </c>
      <c r="C293" s="14" t="s">
        <v>166</v>
      </c>
      <c r="D293" s="14" t="s">
        <v>99</v>
      </c>
      <c r="E293" s="14" t="s">
        <v>35</v>
      </c>
      <c r="F293" s="15">
        <v>45261</v>
      </c>
      <c r="G293" s="14" t="s">
        <v>2845</v>
      </c>
      <c r="H293" t="s">
        <v>3524</v>
      </c>
      <c r="I293" s="15"/>
      <c r="J293" s="14"/>
      <c r="K293" s="15"/>
      <c r="M293" s="14"/>
      <c r="N293">
        <v>190</v>
      </c>
    </row>
    <row r="294" spans="1:14" x14ac:dyDescent="0.3">
      <c r="A294">
        <v>293</v>
      </c>
      <c r="B294" s="14" t="s">
        <v>2252</v>
      </c>
      <c r="C294" s="14" t="s">
        <v>149</v>
      </c>
      <c r="D294" s="14" t="s">
        <v>99</v>
      </c>
      <c r="E294" s="14" t="s">
        <v>35</v>
      </c>
      <c r="F294" s="15">
        <v>45261</v>
      </c>
      <c r="G294" s="14" t="s">
        <v>2847</v>
      </c>
      <c r="H294" t="s">
        <v>3524</v>
      </c>
      <c r="I294" s="15"/>
      <c r="J294" s="14"/>
      <c r="K294" s="15"/>
      <c r="M294" s="14"/>
      <c r="N294">
        <v>190</v>
      </c>
    </row>
    <row r="295" spans="1:14" x14ac:dyDescent="0.3">
      <c r="A295">
        <v>294</v>
      </c>
      <c r="B295" s="14" t="s">
        <v>2274</v>
      </c>
      <c r="C295" s="14" t="s">
        <v>165</v>
      </c>
      <c r="D295" s="14" t="s">
        <v>99</v>
      </c>
      <c r="E295" s="14" t="s">
        <v>35</v>
      </c>
      <c r="F295" s="15">
        <v>45261</v>
      </c>
      <c r="G295" s="14" t="s">
        <v>2847</v>
      </c>
      <c r="H295" t="s">
        <v>3524</v>
      </c>
      <c r="I295" s="15"/>
      <c r="J295" s="14"/>
      <c r="K295" s="15"/>
      <c r="M295" s="14"/>
      <c r="N295">
        <v>190</v>
      </c>
    </row>
    <row r="296" spans="1:14" x14ac:dyDescent="0.3">
      <c r="A296">
        <v>295</v>
      </c>
      <c r="B296" s="14" t="s">
        <v>2837</v>
      </c>
      <c r="C296" s="14" t="s">
        <v>589</v>
      </c>
      <c r="D296" s="14" t="s">
        <v>99</v>
      </c>
      <c r="E296" s="14" t="s">
        <v>35</v>
      </c>
      <c r="F296" s="15">
        <v>45418</v>
      </c>
      <c r="G296" s="14" t="s">
        <v>3539</v>
      </c>
      <c r="H296" t="s">
        <v>3523</v>
      </c>
      <c r="I296" s="15"/>
      <c r="J296" s="14"/>
      <c r="K296" s="15"/>
      <c r="M296" s="14"/>
      <c r="N296">
        <v>33</v>
      </c>
    </row>
    <row r="297" spans="1:14" x14ac:dyDescent="0.3">
      <c r="A297">
        <v>296</v>
      </c>
      <c r="B297" s="14" t="s">
        <v>2834</v>
      </c>
      <c r="C297" s="14" t="s">
        <v>586</v>
      </c>
      <c r="D297" s="14" t="s">
        <v>99</v>
      </c>
      <c r="E297" s="14" t="s">
        <v>35</v>
      </c>
      <c r="F297" s="15">
        <v>45417</v>
      </c>
      <c r="G297" s="14" t="s">
        <v>3539</v>
      </c>
      <c r="H297" t="s">
        <v>3523</v>
      </c>
      <c r="I297" s="15"/>
      <c r="J297" s="14"/>
      <c r="K297" s="15"/>
      <c r="M297" s="14"/>
      <c r="N297">
        <v>34</v>
      </c>
    </row>
    <row r="298" spans="1:14" x14ac:dyDescent="0.3">
      <c r="A298">
        <v>297</v>
      </c>
      <c r="B298" s="14" t="s">
        <v>2831</v>
      </c>
      <c r="C298" s="14" t="s">
        <v>584</v>
      </c>
      <c r="D298" s="14" t="s">
        <v>99</v>
      </c>
      <c r="E298" s="14" t="s">
        <v>35</v>
      </c>
      <c r="F298" s="15">
        <v>45417</v>
      </c>
      <c r="G298" s="14" t="s">
        <v>3539</v>
      </c>
      <c r="H298" t="s">
        <v>3523</v>
      </c>
      <c r="I298" s="15"/>
      <c r="J298" s="14"/>
      <c r="K298" s="15"/>
      <c r="M298" s="14"/>
      <c r="N298">
        <v>34</v>
      </c>
    </row>
    <row r="299" spans="1:14" x14ac:dyDescent="0.3">
      <c r="A299">
        <v>298</v>
      </c>
      <c r="B299" s="14" t="s">
        <v>2832</v>
      </c>
      <c r="C299" s="14" t="s">
        <v>2221</v>
      </c>
      <c r="D299" s="14" t="s">
        <v>99</v>
      </c>
      <c r="E299" s="14" t="s">
        <v>35</v>
      </c>
      <c r="F299" s="15">
        <v>45417</v>
      </c>
      <c r="G299" s="14" t="s">
        <v>3539</v>
      </c>
      <c r="H299" t="s">
        <v>3523</v>
      </c>
      <c r="I299" s="15"/>
      <c r="J299" s="14"/>
      <c r="K299" s="15"/>
      <c r="M299" s="14"/>
      <c r="N299">
        <v>34</v>
      </c>
    </row>
    <row r="300" spans="1:14" x14ac:dyDescent="0.3">
      <c r="A300">
        <v>299</v>
      </c>
      <c r="B300" s="14" t="s">
        <v>2816</v>
      </c>
      <c r="C300" s="14" t="s">
        <v>569</v>
      </c>
      <c r="D300" s="14" t="s">
        <v>99</v>
      </c>
      <c r="E300" s="14" t="s">
        <v>35</v>
      </c>
      <c r="F300" s="15">
        <v>45415</v>
      </c>
      <c r="G300" s="14" t="s">
        <v>3539</v>
      </c>
      <c r="H300" t="s">
        <v>3523</v>
      </c>
      <c r="I300" s="15"/>
      <c r="J300" s="14"/>
      <c r="K300" s="15"/>
      <c r="M300" s="14"/>
      <c r="N300">
        <v>36</v>
      </c>
    </row>
    <row r="301" spans="1:14" x14ac:dyDescent="0.3">
      <c r="A301">
        <v>300</v>
      </c>
      <c r="B301" s="14" t="s">
        <v>2809</v>
      </c>
      <c r="C301" s="14" t="s">
        <v>562</v>
      </c>
      <c r="D301" s="14" t="s">
        <v>99</v>
      </c>
      <c r="E301" s="14" t="s">
        <v>35</v>
      </c>
      <c r="F301" s="15">
        <v>45415</v>
      </c>
      <c r="G301" s="14" t="s">
        <v>2847</v>
      </c>
      <c r="H301" t="s">
        <v>3523</v>
      </c>
      <c r="I301" s="15"/>
      <c r="J301" s="14"/>
      <c r="K301" s="15"/>
      <c r="M301" s="14"/>
      <c r="N301">
        <v>36</v>
      </c>
    </row>
    <row r="302" spans="1:14" x14ac:dyDescent="0.3">
      <c r="A302">
        <v>301</v>
      </c>
      <c r="B302" s="14" t="s">
        <v>2811</v>
      </c>
      <c r="C302" s="14" t="s">
        <v>564</v>
      </c>
      <c r="D302" s="14" t="s">
        <v>99</v>
      </c>
      <c r="E302" s="14" t="s">
        <v>35</v>
      </c>
      <c r="F302" s="15">
        <v>45415</v>
      </c>
      <c r="G302" s="14" t="s">
        <v>2847</v>
      </c>
      <c r="H302" t="s">
        <v>3523</v>
      </c>
      <c r="I302" s="15"/>
      <c r="J302" s="14"/>
      <c r="K302" s="15"/>
      <c r="M302" s="14"/>
      <c r="N302">
        <v>36</v>
      </c>
    </row>
    <row r="303" spans="1:14" x14ac:dyDescent="0.3">
      <c r="A303">
        <v>302</v>
      </c>
      <c r="B303" s="14" t="s">
        <v>2817</v>
      </c>
      <c r="C303" s="14" t="s">
        <v>570</v>
      </c>
      <c r="D303" s="14" t="s">
        <v>99</v>
      </c>
      <c r="E303" s="14" t="s">
        <v>35</v>
      </c>
      <c r="F303" s="15">
        <v>45415</v>
      </c>
      <c r="G303" s="14" t="s">
        <v>3539</v>
      </c>
      <c r="H303" t="s">
        <v>3523</v>
      </c>
      <c r="I303" s="15"/>
      <c r="J303" s="14"/>
      <c r="K303" s="15"/>
      <c r="M303" s="14"/>
      <c r="N303">
        <v>36</v>
      </c>
    </row>
    <row r="304" spans="1:14" x14ac:dyDescent="0.3">
      <c r="A304">
        <v>303</v>
      </c>
      <c r="B304" s="14" t="s">
        <v>2819</v>
      </c>
      <c r="C304" s="14" t="s">
        <v>572</v>
      </c>
      <c r="D304" s="14" t="s">
        <v>99</v>
      </c>
      <c r="E304" s="14" t="s">
        <v>35</v>
      </c>
      <c r="F304" s="15">
        <v>45415</v>
      </c>
      <c r="G304" s="14" t="s">
        <v>3539</v>
      </c>
      <c r="H304" t="s">
        <v>3523</v>
      </c>
      <c r="I304" s="15"/>
      <c r="J304" s="14"/>
      <c r="K304" s="15"/>
      <c r="M304" s="14"/>
      <c r="N304">
        <v>36</v>
      </c>
    </row>
    <row r="305" spans="1:14" x14ac:dyDescent="0.3">
      <c r="A305">
        <v>304</v>
      </c>
      <c r="B305" s="14" t="s">
        <v>2806</v>
      </c>
      <c r="C305" s="14" t="s">
        <v>559</v>
      </c>
      <c r="D305" s="14" t="s">
        <v>99</v>
      </c>
      <c r="E305" s="14" t="s">
        <v>35</v>
      </c>
      <c r="F305" s="15">
        <v>45415</v>
      </c>
      <c r="G305" s="14" t="s">
        <v>2847</v>
      </c>
      <c r="H305" t="s">
        <v>3523</v>
      </c>
      <c r="I305" s="15"/>
      <c r="J305" s="14"/>
      <c r="K305" s="15"/>
      <c r="M305" s="14"/>
      <c r="N305">
        <v>36</v>
      </c>
    </row>
    <row r="306" spans="1:14" x14ac:dyDescent="0.3">
      <c r="A306">
        <v>305</v>
      </c>
      <c r="B306" s="14" t="s">
        <v>2804</v>
      </c>
      <c r="C306" s="14" t="s">
        <v>557</v>
      </c>
      <c r="D306" s="14" t="s">
        <v>99</v>
      </c>
      <c r="E306" s="14" t="s">
        <v>35</v>
      </c>
      <c r="F306" s="15">
        <v>45414</v>
      </c>
      <c r="G306" s="14" t="s">
        <v>2847</v>
      </c>
      <c r="H306" t="s">
        <v>3523</v>
      </c>
      <c r="I306" s="15"/>
      <c r="J306" s="14"/>
      <c r="K306" s="15"/>
      <c r="M306" s="14"/>
      <c r="N306">
        <v>37</v>
      </c>
    </row>
    <row r="307" spans="1:14" x14ac:dyDescent="0.3">
      <c r="A307">
        <v>306</v>
      </c>
      <c r="B307" s="14" t="s">
        <v>2784</v>
      </c>
      <c r="C307" s="14" t="s">
        <v>539</v>
      </c>
      <c r="D307" s="14" t="s">
        <v>99</v>
      </c>
      <c r="E307" s="14" t="s">
        <v>35</v>
      </c>
      <c r="F307" s="15">
        <v>45411</v>
      </c>
      <c r="G307" s="14" t="s">
        <v>2845</v>
      </c>
      <c r="H307" t="s">
        <v>3523</v>
      </c>
      <c r="I307" s="15"/>
      <c r="J307" s="14"/>
      <c r="K307" s="15"/>
      <c r="M307" s="14"/>
      <c r="N307">
        <v>40</v>
      </c>
    </row>
    <row r="308" spans="1:14" x14ac:dyDescent="0.3">
      <c r="A308">
        <v>307</v>
      </c>
      <c r="B308" s="14" t="s">
        <v>2785</v>
      </c>
      <c r="C308" s="14" t="s">
        <v>540</v>
      </c>
      <c r="D308" s="14" t="s">
        <v>99</v>
      </c>
      <c r="E308" s="14" t="s">
        <v>35</v>
      </c>
      <c r="F308" s="15">
        <v>45411</v>
      </c>
      <c r="G308" s="14" t="s">
        <v>2845</v>
      </c>
      <c r="H308" t="s">
        <v>3523</v>
      </c>
      <c r="I308" s="15"/>
      <c r="J308" s="14"/>
      <c r="K308" s="15"/>
      <c r="M308" s="14"/>
      <c r="N308">
        <v>40</v>
      </c>
    </row>
    <row r="309" spans="1:14" x14ac:dyDescent="0.3">
      <c r="A309">
        <v>308</v>
      </c>
      <c r="B309" s="14" t="s">
        <v>2786</v>
      </c>
      <c r="C309" s="14" t="s">
        <v>541</v>
      </c>
      <c r="D309" s="14" t="s">
        <v>99</v>
      </c>
      <c r="E309" s="14" t="s">
        <v>35</v>
      </c>
      <c r="F309" s="15">
        <v>45409</v>
      </c>
      <c r="G309" s="14" t="s">
        <v>2848</v>
      </c>
      <c r="H309" t="s">
        <v>3523</v>
      </c>
      <c r="I309" s="15"/>
      <c r="J309" s="14"/>
      <c r="K309" s="15"/>
      <c r="M309" s="14"/>
      <c r="N309">
        <v>42</v>
      </c>
    </row>
    <row r="310" spans="1:14" x14ac:dyDescent="0.3">
      <c r="A310">
        <v>309</v>
      </c>
      <c r="B310" s="14" t="s">
        <v>2767</v>
      </c>
      <c r="C310" s="14" t="s">
        <v>525</v>
      </c>
      <c r="D310" s="14" t="s">
        <v>99</v>
      </c>
      <c r="E310" s="14" t="s">
        <v>35</v>
      </c>
      <c r="F310" s="15">
        <v>45407</v>
      </c>
      <c r="G310" s="14" t="s">
        <v>2847</v>
      </c>
      <c r="H310" t="s">
        <v>3523</v>
      </c>
      <c r="I310" s="15"/>
      <c r="J310" s="14"/>
      <c r="K310" s="15"/>
      <c r="M310" s="14"/>
      <c r="N310">
        <v>44</v>
      </c>
    </row>
    <row r="311" spans="1:14" x14ac:dyDescent="0.3">
      <c r="A311">
        <v>310</v>
      </c>
      <c r="B311" s="14" t="s">
        <v>2757</v>
      </c>
      <c r="C311" s="14" t="s">
        <v>515</v>
      </c>
      <c r="D311" s="14" t="s">
        <v>99</v>
      </c>
      <c r="E311" s="14" t="s">
        <v>35</v>
      </c>
      <c r="F311" s="15">
        <v>45407</v>
      </c>
      <c r="G311" s="14" t="s">
        <v>2847</v>
      </c>
      <c r="H311" t="s">
        <v>3523</v>
      </c>
      <c r="I311" s="15"/>
      <c r="J311" s="14"/>
      <c r="K311" s="15"/>
      <c r="M311" s="14"/>
      <c r="N311">
        <v>44</v>
      </c>
    </row>
    <row r="312" spans="1:14" x14ac:dyDescent="0.3">
      <c r="A312">
        <v>311</v>
      </c>
      <c r="B312" s="14" t="s">
        <v>2760</v>
      </c>
      <c r="C312" s="14" t="s">
        <v>518</v>
      </c>
      <c r="D312" s="14" t="s">
        <v>99</v>
      </c>
      <c r="E312" s="14" t="s">
        <v>35</v>
      </c>
      <c r="F312" s="15">
        <v>45405</v>
      </c>
      <c r="G312" s="14" t="s">
        <v>2847</v>
      </c>
      <c r="H312" t="s">
        <v>3523</v>
      </c>
      <c r="I312" s="15"/>
      <c r="J312" s="14"/>
      <c r="K312" s="15"/>
      <c r="M312" s="14"/>
      <c r="N312">
        <v>46</v>
      </c>
    </row>
    <row r="313" spans="1:14" x14ac:dyDescent="0.3">
      <c r="A313">
        <v>312</v>
      </c>
      <c r="B313" s="14" t="s">
        <v>2703</v>
      </c>
      <c r="C313" s="14" t="s">
        <v>466</v>
      </c>
      <c r="D313" s="14" t="s">
        <v>99</v>
      </c>
      <c r="E313" s="14" t="s">
        <v>35</v>
      </c>
      <c r="F313" s="15">
        <v>45402</v>
      </c>
      <c r="G313" s="14" t="s">
        <v>3539</v>
      </c>
      <c r="H313" t="s">
        <v>3523</v>
      </c>
      <c r="I313" s="15"/>
      <c r="J313" s="14"/>
      <c r="K313" s="15"/>
      <c r="M313" s="14"/>
      <c r="N313">
        <v>49</v>
      </c>
    </row>
    <row r="314" spans="1:14" x14ac:dyDescent="0.3">
      <c r="A314">
        <v>313</v>
      </c>
      <c r="B314" s="14" t="s">
        <v>2705</v>
      </c>
      <c r="C314" s="14" t="s">
        <v>468</v>
      </c>
      <c r="D314" s="14" t="s">
        <v>99</v>
      </c>
      <c r="E314" s="14" t="s">
        <v>35</v>
      </c>
      <c r="F314" s="15">
        <v>45402</v>
      </c>
      <c r="G314" s="14" t="s">
        <v>3539</v>
      </c>
      <c r="H314" t="s">
        <v>3523</v>
      </c>
      <c r="I314" s="15"/>
      <c r="J314" s="14"/>
      <c r="K314" s="15"/>
      <c r="M314" s="14"/>
      <c r="N314">
        <v>49</v>
      </c>
    </row>
    <row r="315" spans="1:14" x14ac:dyDescent="0.3">
      <c r="A315">
        <v>314</v>
      </c>
      <c r="B315" s="14" t="s">
        <v>2683</v>
      </c>
      <c r="C315" s="14" t="s">
        <v>426</v>
      </c>
      <c r="D315" s="14" t="s">
        <v>99</v>
      </c>
      <c r="E315" s="14" t="s">
        <v>35</v>
      </c>
      <c r="F315" s="15">
        <v>45400</v>
      </c>
      <c r="G315" s="14" t="s">
        <v>2847</v>
      </c>
      <c r="H315" t="s">
        <v>3523</v>
      </c>
      <c r="I315" s="15"/>
      <c r="J315" s="14"/>
      <c r="K315" s="15"/>
      <c r="M315" s="14"/>
      <c r="N315">
        <v>51</v>
      </c>
    </row>
    <row r="316" spans="1:14" x14ac:dyDescent="0.3">
      <c r="A316">
        <v>315</v>
      </c>
      <c r="B316" s="14" t="s">
        <v>2685</v>
      </c>
      <c r="C316" s="14" t="s">
        <v>430</v>
      </c>
      <c r="D316" s="14" t="s">
        <v>99</v>
      </c>
      <c r="E316" s="14" t="s">
        <v>35</v>
      </c>
      <c r="F316" s="15">
        <v>45400</v>
      </c>
      <c r="G316" s="14" t="s">
        <v>2847</v>
      </c>
      <c r="H316" t="s">
        <v>3523</v>
      </c>
      <c r="I316" s="15"/>
      <c r="J316" s="14"/>
      <c r="K316" s="15"/>
      <c r="M316" s="14"/>
      <c r="N316">
        <v>51</v>
      </c>
    </row>
    <row r="317" spans="1:14" x14ac:dyDescent="0.3">
      <c r="A317">
        <v>316</v>
      </c>
      <c r="B317" s="14" t="s">
        <v>2699</v>
      </c>
      <c r="C317" s="14" t="s">
        <v>462</v>
      </c>
      <c r="D317" s="14" t="s">
        <v>99</v>
      </c>
      <c r="E317" s="14" t="s">
        <v>35</v>
      </c>
      <c r="F317" s="15">
        <v>45400</v>
      </c>
      <c r="G317" s="14" t="s">
        <v>3539</v>
      </c>
      <c r="H317" t="s">
        <v>3523</v>
      </c>
      <c r="I317" s="15"/>
      <c r="J317" s="14"/>
      <c r="K317" s="15"/>
      <c r="M317" s="14"/>
      <c r="N317">
        <v>51</v>
      </c>
    </row>
    <row r="318" spans="1:14" x14ac:dyDescent="0.3">
      <c r="A318">
        <v>317</v>
      </c>
      <c r="B318" s="14" t="s">
        <v>2662</v>
      </c>
      <c r="C318" s="14" t="s">
        <v>430</v>
      </c>
      <c r="D318" s="14" t="s">
        <v>99</v>
      </c>
      <c r="E318" s="14" t="s">
        <v>35</v>
      </c>
      <c r="F318" s="15">
        <v>45399</v>
      </c>
      <c r="G318" s="14" t="s">
        <v>2847</v>
      </c>
      <c r="H318" t="s">
        <v>3523</v>
      </c>
      <c r="I318" s="15"/>
      <c r="J318" s="14"/>
      <c r="K318" s="15"/>
      <c r="M318" s="14"/>
      <c r="N318">
        <v>52</v>
      </c>
    </row>
    <row r="319" spans="1:14" x14ac:dyDescent="0.3">
      <c r="A319">
        <v>318</v>
      </c>
      <c r="B319" s="14" t="s">
        <v>2658</v>
      </c>
      <c r="C319" s="14" t="s">
        <v>426</v>
      </c>
      <c r="D319" s="14" t="s">
        <v>99</v>
      </c>
      <c r="E319" s="14" t="s">
        <v>35</v>
      </c>
      <c r="F319" s="15">
        <v>45399</v>
      </c>
      <c r="G319" s="14" t="s">
        <v>2847</v>
      </c>
      <c r="H319" t="s">
        <v>3523</v>
      </c>
      <c r="I319" s="15"/>
      <c r="J319" s="14"/>
      <c r="K319" s="15"/>
      <c r="M319" s="14"/>
      <c r="N319">
        <v>52</v>
      </c>
    </row>
    <row r="320" spans="1:14" x14ac:dyDescent="0.3">
      <c r="A320">
        <v>319</v>
      </c>
      <c r="B320" s="14" t="s">
        <v>2646</v>
      </c>
      <c r="C320" s="14" t="s">
        <v>414</v>
      </c>
      <c r="D320" s="14" t="s">
        <v>99</v>
      </c>
      <c r="E320" s="14" t="s">
        <v>35</v>
      </c>
      <c r="F320" s="15">
        <v>45388</v>
      </c>
      <c r="G320" s="14" t="s">
        <v>2847</v>
      </c>
      <c r="H320" t="s">
        <v>3523</v>
      </c>
      <c r="I320" s="15"/>
      <c r="J320" s="14"/>
      <c r="K320" s="15"/>
      <c r="M320" s="14"/>
      <c r="N320">
        <v>63</v>
      </c>
    </row>
    <row r="321" spans="1:14" x14ac:dyDescent="0.3">
      <c r="A321">
        <v>320</v>
      </c>
      <c r="B321" s="14" t="s">
        <v>2625</v>
      </c>
      <c r="C321" s="14" t="s">
        <v>395</v>
      </c>
      <c r="D321" s="14" t="s">
        <v>99</v>
      </c>
      <c r="E321" s="14" t="s">
        <v>35</v>
      </c>
      <c r="F321" s="15">
        <v>45384</v>
      </c>
      <c r="G321" s="14" t="s">
        <v>3539</v>
      </c>
      <c r="H321" t="s">
        <v>3523</v>
      </c>
      <c r="I321" s="15"/>
      <c r="J321" s="14"/>
      <c r="K321" s="15"/>
      <c r="M321" s="14"/>
      <c r="N321">
        <v>67</v>
      </c>
    </row>
    <row r="322" spans="1:14" x14ac:dyDescent="0.3">
      <c r="A322">
        <v>321</v>
      </c>
      <c r="B322" s="14" t="s">
        <v>2589</v>
      </c>
      <c r="C322" s="14" t="s">
        <v>2206</v>
      </c>
      <c r="D322" s="14" t="s">
        <v>99</v>
      </c>
      <c r="E322" s="14" t="s">
        <v>35</v>
      </c>
      <c r="F322" s="15">
        <v>45371</v>
      </c>
      <c r="G322" s="14" t="s">
        <v>2848</v>
      </c>
      <c r="H322" t="s">
        <v>3523</v>
      </c>
      <c r="I322" s="15"/>
      <c r="J322" s="14"/>
      <c r="K322" s="15"/>
      <c r="M322" s="14"/>
      <c r="N322">
        <v>80</v>
      </c>
    </row>
    <row r="323" spans="1:14" x14ac:dyDescent="0.3">
      <c r="A323">
        <v>322</v>
      </c>
      <c r="B323" s="14" t="s">
        <v>2578</v>
      </c>
      <c r="C323" s="14" t="s">
        <v>361</v>
      </c>
      <c r="D323" s="14" t="s">
        <v>99</v>
      </c>
      <c r="E323" s="14" t="s">
        <v>35</v>
      </c>
      <c r="F323" s="15">
        <v>45369</v>
      </c>
      <c r="G323" s="14" t="s">
        <v>3539</v>
      </c>
      <c r="H323" t="s">
        <v>3523</v>
      </c>
      <c r="I323" s="15"/>
      <c r="J323" s="14"/>
      <c r="K323" s="15"/>
      <c r="M323" s="14"/>
      <c r="N323">
        <v>82</v>
      </c>
    </row>
    <row r="324" spans="1:14" x14ac:dyDescent="0.3">
      <c r="A324">
        <v>323</v>
      </c>
      <c r="B324" s="14" t="s">
        <v>2574</v>
      </c>
      <c r="C324" s="14" t="s">
        <v>358</v>
      </c>
      <c r="D324" s="14" t="s">
        <v>99</v>
      </c>
      <c r="E324" s="14" t="s">
        <v>35</v>
      </c>
      <c r="F324" s="15">
        <v>45368</v>
      </c>
      <c r="G324" s="14" t="s">
        <v>3539</v>
      </c>
      <c r="H324" t="s">
        <v>3523</v>
      </c>
      <c r="I324" s="15"/>
      <c r="J324" s="14"/>
      <c r="K324" s="15"/>
      <c r="M324" s="14"/>
      <c r="N324">
        <v>83</v>
      </c>
    </row>
    <row r="325" spans="1:14" x14ac:dyDescent="0.3">
      <c r="A325">
        <v>324</v>
      </c>
      <c r="B325" s="14" t="s">
        <v>2575</v>
      </c>
      <c r="C325" s="14" t="s">
        <v>2203</v>
      </c>
      <c r="D325" s="14" t="s">
        <v>99</v>
      </c>
      <c r="E325" s="14" t="s">
        <v>35</v>
      </c>
      <c r="F325" s="15">
        <v>45368</v>
      </c>
      <c r="G325" s="14" t="s">
        <v>3539</v>
      </c>
      <c r="H325" t="s">
        <v>3523</v>
      </c>
      <c r="I325" s="15"/>
      <c r="J325" s="14"/>
      <c r="K325" s="15"/>
      <c r="M325" s="14"/>
      <c r="N325">
        <v>83</v>
      </c>
    </row>
    <row r="326" spans="1:14" x14ac:dyDescent="0.3">
      <c r="A326">
        <v>325</v>
      </c>
      <c r="B326" s="14" t="s">
        <v>2577</v>
      </c>
      <c r="C326" s="14" t="s">
        <v>360</v>
      </c>
      <c r="D326" s="14" t="s">
        <v>99</v>
      </c>
      <c r="E326" s="14" t="s">
        <v>35</v>
      </c>
      <c r="F326" s="15">
        <v>45368</v>
      </c>
      <c r="G326" s="14" t="s">
        <v>3539</v>
      </c>
      <c r="H326" t="s">
        <v>3523</v>
      </c>
      <c r="I326" s="15"/>
      <c r="J326" s="14"/>
      <c r="K326" s="15"/>
      <c r="M326" s="14"/>
      <c r="N326">
        <v>83</v>
      </c>
    </row>
    <row r="327" spans="1:14" x14ac:dyDescent="0.3">
      <c r="A327">
        <v>326</v>
      </c>
      <c r="B327" s="14" t="s">
        <v>2567</v>
      </c>
      <c r="C327" s="14" t="s">
        <v>352</v>
      </c>
      <c r="D327" s="14" t="s">
        <v>99</v>
      </c>
      <c r="E327" s="14" t="s">
        <v>35</v>
      </c>
      <c r="F327" s="15">
        <v>45366</v>
      </c>
      <c r="G327" s="14" t="s">
        <v>3539</v>
      </c>
      <c r="H327" t="s">
        <v>3523</v>
      </c>
      <c r="I327" s="15"/>
      <c r="J327" s="14"/>
      <c r="K327" s="15"/>
      <c r="M327" s="14"/>
      <c r="N327">
        <v>85</v>
      </c>
    </row>
    <row r="328" spans="1:14" x14ac:dyDescent="0.3">
      <c r="A328">
        <v>327</v>
      </c>
      <c r="B328" s="14" t="s">
        <v>2566</v>
      </c>
      <c r="C328" s="14" t="s">
        <v>351</v>
      </c>
      <c r="D328" s="14" t="s">
        <v>99</v>
      </c>
      <c r="E328" s="14" t="s">
        <v>35</v>
      </c>
      <c r="F328" s="15">
        <v>45366</v>
      </c>
      <c r="G328" s="14" t="s">
        <v>3539</v>
      </c>
      <c r="H328" t="s">
        <v>3523</v>
      </c>
      <c r="I328" s="15"/>
      <c r="J328" s="14"/>
      <c r="K328" s="15"/>
      <c r="M328" s="14"/>
      <c r="N328">
        <v>85</v>
      </c>
    </row>
    <row r="329" spans="1:14" x14ac:dyDescent="0.3">
      <c r="A329">
        <v>328</v>
      </c>
      <c r="B329" s="14" t="s">
        <v>2555</v>
      </c>
      <c r="C329" s="14" t="s">
        <v>344</v>
      </c>
      <c r="D329" s="14" t="s">
        <v>99</v>
      </c>
      <c r="E329" s="14" t="s">
        <v>35</v>
      </c>
      <c r="F329" s="15">
        <v>45365</v>
      </c>
      <c r="G329" s="14" t="s">
        <v>3539</v>
      </c>
      <c r="H329" t="s">
        <v>3523</v>
      </c>
      <c r="I329" s="15"/>
      <c r="J329" s="14"/>
      <c r="K329" s="15"/>
      <c r="M329" s="14"/>
      <c r="N329">
        <v>86</v>
      </c>
    </row>
    <row r="330" spans="1:14" x14ac:dyDescent="0.3">
      <c r="A330">
        <v>329</v>
      </c>
      <c r="B330" s="14" t="s">
        <v>2556</v>
      </c>
      <c r="C330" s="14" t="s">
        <v>2198</v>
      </c>
      <c r="D330" s="14" t="s">
        <v>99</v>
      </c>
      <c r="E330" s="14" t="s">
        <v>35</v>
      </c>
      <c r="F330" s="15">
        <v>45365</v>
      </c>
      <c r="G330" s="14" t="s">
        <v>3539</v>
      </c>
      <c r="H330" t="s">
        <v>3523</v>
      </c>
      <c r="I330" s="15"/>
      <c r="J330" s="14"/>
      <c r="K330" s="15"/>
      <c r="M330" s="14"/>
      <c r="N330">
        <v>86</v>
      </c>
    </row>
    <row r="331" spans="1:14" x14ac:dyDescent="0.3">
      <c r="A331">
        <v>330</v>
      </c>
      <c r="B331" s="14" t="s">
        <v>2552</v>
      </c>
      <c r="C331" s="14" t="s">
        <v>342</v>
      </c>
      <c r="D331" s="14" t="s">
        <v>99</v>
      </c>
      <c r="E331" s="14" t="s">
        <v>35</v>
      </c>
      <c r="F331" s="15">
        <v>45364</v>
      </c>
      <c r="G331" s="14" t="s">
        <v>3539</v>
      </c>
      <c r="H331" t="s">
        <v>3523</v>
      </c>
      <c r="I331" s="15"/>
      <c r="J331" s="14"/>
      <c r="K331" s="15"/>
      <c r="M331" s="14"/>
      <c r="N331">
        <v>87</v>
      </c>
    </row>
    <row r="332" spans="1:14" x14ac:dyDescent="0.3">
      <c r="A332">
        <v>331</v>
      </c>
      <c r="B332" s="14" t="s">
        <v>2543</v>
      </c>
      <c r="C332" s="14" t="s">
        <v>2194</v>
      </c>
      <c r="D332" s="14" t="s">
        <v>99</v>
      </c>
      <c r="E332" s="14" t="s">
        <v>35</v>
      </c>
      <c r="F332" s="15">
        <v>45363</v>
      </c>
      <c r="G332" s="14" t="s">
        <v>3539</v>
      </c>
      <c r="H332" t="s">
        <v>3523</v>
      </c>
      <c r="I332" s="15"/>
      <c r="J332" s="14"/>
      <c r="K332" s="15"/>
      <c r="M332" s="14"/>
      <c r="N332">
        <v>88</v>
      </c>
    </row>
    <row r="333" spans="1:14" x14ac:dyDescent="0.3">
      <c r="A333">
        <v>332</v>
      </c>
      <c r="B333" s="14" t="s">
        <v>2539</v>
      </c>
      <c r="C333" s="14" t="s">
        <v>334</v>
      </c>
      <c r="D333" s="14" t="s">
        <v>99</v>
      </c>
      <c r="E333" s="14" t="s">
        <v>35</v>
      </c>
      <c r="F333" s="15">
        <v>45362</v>
      </c>
      <c r="G333" s="14" t="s">
        <v>3539</v>
      </c>
      <c r="H333" t="s">
        <v>3523</v>
      </c>
      <c r="I333" s="15"/>
      <c r="J333" s="14"/>
      <c r="K333" s="15"/>
      <c r="M333" s="14"/>
      <c r="N333">
        <v>89</v>
      </c>
    </row>
    <row r="334" spans="1:14" x14ac:dyDescent="0.3">
      <c r="A334">
        <v>333</v>
      </c>
      <c r="B334" s="14" t="s">
        <v>2540</v>
      </c>
      <c r="C334" s="14" t="s">
        <v>2193</v>
      </c>
      <c r="D334" s="14" t="s">
        <v>99</v>
      </c>
      <c r="E334" s="14" t="s">
        <v>35</v>
      </c>
      <c r="F334" s="15">
        <v>45362</v>
      </c>
      <c r="G334" s="14" t="s">
        <v>2848</v>
      </c>
      <c r="H334" t="s">
        <v>3523</v>
      </c>
      <c r="I334" s="15"/>
      <c r="J334" s="14"/>
      <c r="K334" s="15"/>
      <c r="M334" s="14"/>
      <c r="N334">
        <v>89</v>
      </c>
    </row>
    <row r="335" spans="1:14" x14ac:dyDescent="0.3">
      <c r="A335">
        <v>334</v>
      </c>
      <c r="B335" s="14" t="s">
        <v>2537</v>
      </c>
      <c r="C335" s="14" t="s">
        <v>332</v>
      </c>
      <c r="D335" s="14" t="s">
        <v>99</v>
      </c>
      <c r="E335" s="14" t="s">
        <v>35</v>
      </c>
      <c r="F335" s="15">
        <v>45361</v>
      </c>
      <c r="G335" s="14" t="s">
        <v>3539</v>
      </c>
      <c r="H335" t="s">
        <v>3523</v>
      </c>
      <c r="I335" s="15"/>
      <c r="J335" s="14"/>
      <c r="K335" s="15"/>
      <c r="M335" s="14"/>
      <c r="N335">
        <v>90</v>
      </c>
    </row>
    <row r="336" spans="1:14" x14ac:dyDescent="0.3">
      <c r="A336">
        <v>335</v>
      </c>
      <c r="B336" s="14" t="s">
        <v>2505</v>
      </c>
      <c r="C336" s="14" t="s">
        <v>2185</v>
      </c>
      <c r="D336" s="14" t="s">
        <v>99</v>
      </c>
      <c r="E336" s="14" t="s">
        <v>35</v>
      </c>
      <c r="F336" s="15">
        <v>45350</v>
      </c>
      <c r="G336" s="14" t="s">
        <v>2848</v>
      </c>
      <c r="H336" t="s">
        <v>3523</v>
      </c>
      <c r="I336" s="15"/>
      <c r="J336" s="14"/>
      <c r="K336" s="15"/>
      <c r="M336" s="14"/>
      <c r="N336">
        <v>101</v>
      </c>
    </row>
    <row r="337" spans="1:14" x14ac:dyDescent="0.3">
      <c r="A337">
        <v>336</v>
      </c>
      <c r="B337" s="14" t="s">
        <v>2492</v>
      </c>
      <c r="C337" s="14" t="s">
        <v>300</v>
      </c>
      <c r="D337" s="14" t="s">
        <v>99</v>
      </c>
      <c r="E337" s="14" t="s">
        <v>35</v>
      </c>
      <c r="F337" s="15">
        <v>45345</v>
      </c>
      <c r="G337" s="14" t="s">
        <v>2848</v>
      </c>
      <c r="H337" t="s">
        <v>3523</v>
      </c>
      <c r="I337" s="15"/>
      <c r="J337" s="14"/>
      <c r="K337" s="15"/>
      <c r="M337" s="14"/>
      <c r="N337">
        <v>106</v>
      </c>
    </row>
    <row r="338" spans="1:14" x14ac:dyDescent="0.3">
      <c r="A338">
        <v>337</v>
      </c>
      <c r="B338" s="14" t="s">
        <v>2433</v>
      </c>
      <c r="C338" s="14" t="s">
        <v>254</v>
      </c>
      <c r="D338" s="14" t="s">
        <v>99</v>
      </c>
      <c r="E338" s="14" t="s">
        <v>35</v>
      </c>
      <c r="F338" s="15">
        <v>45314</v>
      </c>
      <c r="G338" s="14" t="s">
        <v>2847</v>
      </c>
      <c r="H338" t="s">
        <v>3523</v>
      </c>
      <c r="I338" s="15"/>
      <c r="J338" s="14"/>
      <c r="K338" s="15"/>
      <c r="M338" s="14"/>
      <c r="N338">
        <v>137</v>
      </c>
    </row>
    <row r="339" spans="1:14" x14ac:dyDescent="0.3">
      <c r="A339">
        <v>338</v>
      </c>
      <c r="B339" s="14" t="s">
        <v>2435</v>
      </c>
      <c r="C339" s="14" t="s">
        <v>2171</v>
      </c>
      <c r="D339" s="14" t="s">
        <v>99</v>
      </c>
      <c r="E339" s="14" t="s">
        <v>35</v>
      </c>
      <c r="F339" s="15">
        <v>45314</v>
      </c>
      <c r="G339" s="14" t="s">
        <v>2847</v>
      </c>
      <c r="H339" t="s">
        <v>3523</v>
      </c>
      <c r="I339" s="15"/>
      <c r="J339" s="14"/>
      <c r="K339" s="15"/>
      <c r="M339" s="14"/>
      <c r="N339">
        <v>137</v>
      </c>
    </row>
    <row r="340" spans="1:14" x14ac:dyDescent="0.3">
      <c r="A340">
        <v>339</v>
      </c>
      <c r="B340" s="14" t="s">
        <v>2429</v>
      </c>
      <c r="C340" s="14" t="s">
        <v>2167</v>
      </c>
      <c r="D340" s="14" t="s">
        <v>99</v>
      </c>
      <c r="E340" s="14" t="s">
        <v>35</v>
      </c>
      <c r="F340" s="15">
        <v>45313</v>
      </c>
      <c r="G340" s="14" t="s">
        <v>2847</v>
      </c>
      <c r="H340" t="s">
        <v>3523</v>
      </c>
      <c r="I340" s="15"/>
      <c r="J340" s="14"/>
      <c r="K340" s="15"/>
      <c r="M340" s="14"/>
      <c r="N340">
        <v>138</v>
      </c>
    </row>
    <row r="341" spans="1:14" x14ac:dyDescent="0.3">
      <c r="A341">
        <v>340</v>
      </c>
      <c r="B341" s="14" t="s">
        <v>2355</v>
      </c>
      <c r="C341" s="14" t="s">
        <v>2123</v>
      </c>
      <c r="D341" s="14" t="s">
        <v>99</v>
      </c>
      <c r="E341" s="14" t="s">
        <v>35</v>
      </c>
      <c r="F341" s="15">
        <v>45294</v>
      </c>
      <c r="G341" s="14" t="s">
        <v>2847</v>
      </c>
      <c r="H341" t="s">
        <v>3523</v>
      </c>
      <c r="I341" s="15"/>
      <c r="J341" s="14"/>
      <c r="K341" s="15"/>
      <c r="M341" s="14"/>
      <c r="N341">
        <v>157</v>
      </c>
    </row>
    <row r="342" spans="1:14" x14ac:dyDescent="0.3">
      <c r="A342">
        <v>341</v>
      </c>
      <c r="B342" s="14" t="s">
        <v>2351</v>
      </c>
      <c r="C342" s="14" t="s">
        <v>220</v>
      </c>
      <c r="D342" s="14" t="s">
        <v>99</v>
      </c>
      <c r="E342" s="14" t="s">
        <v>35</v>
      </c>
      <c r="F342" s="15">
        <v>45293</v>
      </c>
      <c r="G342" s="14" t="s">
        <v>2846</v>
      </c>
      <c r="H342" t="s">
        <v>3523</v>
      </c>
      <c r="I342" s="15"/>
      <c r="J342" s="14"/>
      <c r="K342" s="15"/>
      <c r="M342" s="14"/>
      <c r="N342">
        <v>158</v>
      </c>
    </row>
    <row r="343" spans="1:14" x14ac:dyDescent="0.3">
      <c r="A343">
        <v>342</v>
      </c>
      <c r="B343" s="14" t="s">
        <v>2327</v>
      </c>
      <c r="C343" s="14" t="s">
        <v>2118</v>
      </c>
      <c r="D343" s="14" t="s">
        <v>99</v>
      </c>
      <c r="E343" s="14" t="s">
        <v>35</v>
      </c>
      <c r="F343" s="15">
        <v>45261</v>
      </c>
      <c r="G343" s="14" t="s">
        <v>2848</v>
      </c>
      <c r="H343" t="s">
        <v>3523</v>
      </c>
      <c r="I343" s="15"/>
      <c r="J343" s="14"/>
      <c r="K343" s="15"/>
      <c r="M343" s="14"/>
      <c r="N343">
        <v>190</v>
      </c>
    </row>
    <row r="344" spans="1:14" x14ac:dyDescent="0.3">
      <c r="A344">
        <v>343</v>
      </c>
      <c r="B344" s="14" t="s">
        <v>2310</v>
      </c>
      <c r="C344" s="14" t="s">
        <v>2110</v>
      </c>
      <c r="D344" s="14" t="s">
        <v>99</v>
      </c>
      <c r="E344" s="14" t="s">
        <v>35</v>
      </c>
      <c r="F344" s="15">
        <v>45261</v>
      </c>
      <c r="G344" s="14" t="s">
        <v>2846</v>
      </c>
      <c r="H344" t="s">
        <v>3523</v>
      </c>
      <c r="I344" s="15"/>
      <c r="J344" s="14"/>
      <c r="K344" s="15"/>
      <c r="M344" s="14"/>
      <c r="N344">
        <v>190</v>
      </c>
    </row>
    <row r="345" spans="1:14" x14ac:dyDescent="0.3">
      <c r="A345">
        <v>344</v>
      </c>
      <c r="B345" s="14" t="s">
        <v>2337</v>
      </c>
      <c r="C345" s="14" t="s">
        <v>206</v>
      </c>
      <c r="D345" s="14" t="s">
        <v>99</v>
      </c>
      <c r="E345" s="14" t="s">
        <v>35</v>
      </c>
      <c r="F345" s="15">
        <v>45261</v>
      </c>
      <c r="G345" s="14" t="s">
        <v>2847</v>
      </c>
      <c r="H345" t="s">
        <v>3523</v>
      </c>
      <c r="I345" s="15"/>
      <c r="J345" s="14"/>
      <c r="K345" s="15"/>
      <c r="M345" s="14"/>
      <c r="N345">
        <v>190</v>
      </c>
    </row>
    <row r="346" spans="1:14" x14ac:dyDescent="0.3">
      <c r="A346">
        <v>345</v>
      </c>
      <c r="B346" s="14" t="s">
        <v>2332</v>
      </c>
      <c r="C346" s="14" t="s">
        <v>2122</v>
      </c>
      <c r="D346" s="14" t="s">
        <v>99</v>
      </c>
      <c r="E346" s="14" t="s">
        <v>35</v>
      </c>
      <c r="F346" s="15">
        <v>45261</v>
      </c>
      <c r="G346" s="14" t="s">
        <v>2848</v>
      </c>
      <c r="H346" t="s">
        <v>3523</v>
      </c>
      <c r="I346" s="15"/>
      <c r="J346" s="14"/>
      <c r="K346" s="15"/>
      <c r="M346" s="14"/>
      <c r="N346">
        <v>190</v>
      </c>
    </row>
    <row r="347" spans="1:14" x14ac:dyDescent="0.3">
      <c r="A347">
        <v>346</v>
      </c>
      <c r="B347" s="14" t="s">
        <v>2291</v>
      </c>
      <c r="C347" s="14" t="s">
        <v>177</v>
      </c>
      <c r="D347" s="14" t="s">
        <v>99</v>
      </c>
      <c r="E347" s="14" t="s">
        <v>35</v>
      </c>
      <c r="F347" s="15">
        <v>45261</v>
      </c>
      <c r="G347" s="14" t="s">
        <v>2846</v>
      </c>
      <c r="H347" t="s">
        <v>3523</v>
      </c>
      <c r="I347" s="15"/>
      <c r="J347" s="14"/>
      <c r="K347" s="15"/>
      <c r="M347" s="14"/>
      <c r="N347">
        <v>190</v>
      </c>
    </row>
    <row r="348" spans="1:14" x14ac:dyDescent="0.3">
      <c r="A348">
        <v>347</v>
      </c>
      <c r="B348" s="14" t="s">
        <v>2253</v>
      </c>
      <c r="C348" s="14" t="s">
        <v>150</v>
      </c>
      <c r="D348" s="14" t="s">
        <v>99</v>
      </c>
      <c r="E348" s="14" t="s">
        <v>35</v>
      </c>
      <c r="F348" s="15">
        <v>45261</v>
      </c>
      <c r="G348" s="14" t="s">
        <v>2847</v>
      </c>
      <c r="H348" t="s">
        <v>3523</v>
      </c>
      <c r="I348" s="15"/>
      <c r="J348" s="14"/>
      <c r="K348" s="15"/>
      <c r="M348" s="14"/>
      <c r="N348">
        <v>190</v>
      </c>
    </row>
    <row r="349" spans="1:14" x14ac:dyDescent="0.3">
      <c r="A349">
        <v>348</v>
      </c>
      <c r="B349" s="14" t="s">
        <v>2231</v>
      </c>
      <c r="C349" s="14" t="s">
        <v>2090</v>
      </c>
      <c r="D349" s="14" t="s">
        <v>99</v>
      </c>
      <c r="E349" s="14" t="s">
        <v>35</v>
      </c>
      <c r="F349" s="15">
        <v>45261</v>
      </c>
      <c r="G349" s="14" t="s">
        <v>2847</v>
      </c>
      <c r="H349" t="s">
        <v>3523</v>
      </c>
      <c r="I349" s="15"/>
      <c r="J349" s="14"/>
      <c r="K349" s="15"/>
      <c r="M349" s="14"/>
      <c r="N349">
        <v>190</v>
      </c>
    </row>
    <row r="350" spans="1:14" x14ac:dyDescent="0.3">
      <c r="A350">
        <v>349</v>
      </c>
      <c r="B350" s="14" t="s">
        <v>2232</v>
      </c>
      <c r="C350" s="14" t="s">
        <v>136</v>
      </c>
      <c r="D350" s="14" t="s">
        <v>99</v>
      </c>
      <c r="E350" s="14" t="s">
        <v>35</v>
      </c>
      <c r="F350" s="15">
        <v>45261</v>
      </c>
      <c r="G350" s="14" t="s">
        <v>2848</v>
      </c>
      <c r="H350" t="s">
        <v>3523</v>
      </c>
      <c r="I350" s="15"/>
      <c r="J350" s="14"/>
      <c r="K350" s="15"/>
      <c r="M350" s="14"/>
      <c r="N350">
        <v>190</v>
      </c>
    </row>
    <row r="351" spans="1:14" x14ac:dyDescent="0.3">
      <c r="A351">
        <v>350</v>
      </c>
      <c r="B351" s="14" t="s">
        <v>2340</v>
      </c>
      <c r="C351" s="14" t="s">
        <v>209</v>
      </c>
      <c r="D351" s="14" t="s">
        <v>99</v>
      </c>
      <c r="E351" s="14" t="s">
        <v>35</v>
      </c>
      <c r="F351" s="15">
        <v>45261</v>
      </c>
      <c r="G351" s="14" t="s">
        <v>2847</v>
      </c>
      <c r="H351" t="s">
        <v>3523</v>
      </c>
      <c r="I351" s="15"/>
      <c r="J351" s="14"/>
      <c r="K351" s="15"/>
      <c r="M351" s="14"/>
      <c r="N351">
        <v>190</v>
      </c>
    </row>
    <row r="352" spans="1:14" x14ac:dyDescent="0.3">
      <c r="A352">
        <v>351</v>
      </c>
      <c r="B352" s="14" t="s">
        <v>2339</v>
      </c>
      <c r="C352" s="14" t="s">
        <v>208</v>
      </c>
      <c r="D352" s="14" t="s">
        <v>99</v>
      </c>
      <c r="E352" s="14" t="s">
        <v>35</v>
      </c>
      <c r="F352" s="15">
        <v>45261</v>
      </c>
      <c r="G352" s="14" t="s">
        <v>2847</v>
      </c>
      <c r="H352" t="s">
        <v>3523</v>
      </c>
      <c r="I352" s="15"/>
      <c r="J352" s="14"/>
      <c r="K352" s="15"/>
      <c r="M352" s="14"/>
      <c r="N352">
        <v>190</v>
      </c>
    </row>
    <row r="353" spans="1:14" x14ac:dyDescent="0.3">
      <c r="A353">
        <v>352</v>
      </c>
      <c r="B353" s="14" t="s">
        <v>2222</v>
      </c>
      <c r="C353" s="14" t="s">
        <v>128</v>
      </c>
      <c r="D353" s="14" t="s">
        <v>99</v>
      </c>
      <c r="E353" s="14" t="s">
        <v>35</v>
      </c>
      <c r="F353" s="15">
        <v>45261</v>
      </c>
      <c r="G353" s="14" t="s">
        <v>2845</v>
      </c>
      <c r="H353" t="s">
        <v>3523</v>
      </c>
      <c r="I353" s="15"/>
      <c r="J353" s="14"/>
      <c r="K353" s="15"/>
      <c r="M353" s="14"/>
      <c r="N353">
        <v>190</v>
      </c>
    </row>
    <row r="354" spans="1:14" x14ac:dyDescent="0.3">
      <c r="A354">
        <v>353</v>
      </c>
      <c r="B354" s="14" t="s">
        <v>2536</v>
      </c>
      <c r="C354" s="14" t="s">
        <v>331</v>
      </c>
      <c r="D354" s="14" t="s">
        <v>99</v>
      </c>
      <c r="E354" s="14" t="s">
        <v>35</v>
      </c>
      <c r="F354" s="15">
        <v>45361</v>
      </c>
      <c r="G354" s="14" t="s">
        <v>3539</v>
      </c>
      <c r="H354" t="s">
        <v>3500</v>
      </c>
      <c r="I354" s="15">
        <v>45365</v>
      </c>
      <c r="J354" s="14" t="s">
        <v>3521</v>
      </c>
      <c r="K354" s="15"/>
      <c r="M354" s="14" t="s">
        <v>3477</v>
      </c>
      <c r="N354">
        <v>4</v>
      </c>
    </row>
    <row r="355" spans="1:14" x14ac:dyDescent="0.3">
      <c r="A355">
        <v>354</v>
      </c>
      <c r="B355" s="14" t="s">
        <v>2272</v>
      </c>
      <c r="C355" s="14" t="s">
        <v>163</v>
      </c>
      <c r="D355" s="14" t="s">
        <v>99</v>
      </c>
      <c r="E355" s="14" t="s">
        <v>35</v>
      </c>
      <c r="F355" s="15">
        <v>45292</v>
      </c>
      <c r="G355" s="14" t="s">
        <v>2845</v>
      </c>
      <c r="H355" t="s">
        <v>3524</v>
      </c>
      <c r="I355" s="15"/>
      <c r="J355" s="14" t="s">
        <v>3521</v>
      </c>
      <c r="K355" s="15"/>
      <c r="M355" s="14"/>
    </row>
    <row r="356" spans="1:14" x14ac:dyDescent="0.3">
      <c r="A356">
        <v>355</v>
      </c>
      <c r="B356" s="14" t="s">
        <v>2686</v>
      </c>
      <c r="C356" s="14" t="s">
        <v>451</v>
      </c>
      <c r="D356" s="14" t="s">
        <v>99</v>
      </c>
      <c r="E356" s="14" t="s">
        <v>35</v>
      </c>
      <c r="F356" s="15">
        <v>45400</v>
      </c>
      <c r="G356" s="14" t="s">
        <v>2847</v>
      </c>
      <c r="H356" t="s">
        <v>3524</v>
      </c>
      <c r="I356" s="15"/>
      <c r="J356" s="14" t="s">
        <v>3521</v>
      </c>
      <c r="K356" s="15"/>
      <c r="M356" s="14"/>
    </row>
    <row r="357" spans="1:14" x14ac:dyDescent="0.3">
      <c r="A357">
        <v>356</v>
      </c>
      <c r="B357" s="14" t="s">
        <v>2693</v>
      </c>
      <c r="C357" s="14" t="s">
        <v>458</v>
      </c>
      <c r="D357" s="14" t="s">
        <v>99</v>
      </c>
      <c r="E357" s="14" t="s">
        <v>35</v>
      </c>
      <c r="F357" s="15">
        <v>45403</v>
      </c>
      <c r="G357" s="14" t="s">
        <v>2847</v>
      </c>
      <c r="H357" t="s">
        <v>3524</v>
      </c>
      <c r="I357" s="15"/>
      <c r="J357" s="14" t="s">
        <v>3521</v>
      </c>
      <c r="K357" s="15"/>
      <c r="M357" s="14"/>
    </row>
    <row r="358" spans="1:14" x14ac:dyDescent="0.3">
      <c r="A358">
        <v>357</v>
      </c>
      <c r="B358" s="14" t="s">
        <v>2690</v>
      </c>
      <c r="C358" s="14" t="s">
        <v>455</v>
      </c>
      <c r="D358" s="14" t="s">
        <v>99</v>
      </c>
      <c r="E358" s="14" t="s">
        <v>35</v>
      </c>
      <c r="F358" s="15">
        <v>45402</v>
      </c>
      <c r="G358" s="14" t="s">
        <v>2847</v>
      </c>
      <c r="H358" t="s">
        <v>3524</v>
      </c>
      <c r="I358" s="15"/>
      <c r="J358" s="14" t="s">
        <v>3521</v>
      </c>
      <c r="K358" s="15"/>
      <c r="M358" s="14"/>
    </row>
    <row r="359" spans="1:14" x14ac:dyDescent="0.3">
      <c r="A359">
        <v>358</v>
      </c>
      <c r="B359" s="14" t="s">
        <v>2692</v>
      </c>
      <c r="C359" s="14" t="s">
        <v>457</v>
      </c>
      <c r="D359" s="14" t="s">
        <v>99</v>
      </c>
      <c r="E359" s="14" t="s">
        <v>35</v>
      </c>
      <c r="F359" s="15">
        <v>45403</v>
      </c>
      <c r="G359" s="14" t="s">
        <v>2847</v>
      </c>
      <c r="H359" t="s">
        <v>3524</v>
      </c>
      <c r="I359" s="15"/>
      <c r="J359" s="14" t="s">
        <v>3521</v>
      </c>
      <c r="K359" s="15"/>
      <c r="M359" s="14"/>
    </row>
    <row r="360" spans="1:14" x14ac:dyDescent="0.3">
      <c r="A360">
        <v>359</v>
      </c>
      <c r="B360" s="14" t="s">
        <v>2793</v>
      </c>
      <c r="C360" s="14" t="s">
        <v>547</v>
      </c>
      <c r="D360" s="14" t="s">
        <v>99</v>
      </c>
      <c r="E360" s="14" t="s">
        <v>35</v>
      </c>
      <c r="F360" s="15">
        <v>45413</v>
      </c>
      <c r="G360" s="14" t="s">
        <v>2847</v>
      </c>
      <c r="H360" t="s">
        <v>3524</v>
      </c>
      <c r="I360" s="15"/>
      <c r="J360" s="14" t="s">
        <v>3521</v>
      </c>
      <c r="K360" s="15"/>
      <c r="M360" s="14"/>
    </row>
    <row r="361" spans="1:14" x14ac:dyDescent="0.3">
      <c r="A361">
        <v>360</v>
      </c>
      <c r="B361" s="14" t="s">
        <v>2738</v>
      </c>
      <c r="C361" s="14" t="s">
        <v>499</v>
      </c>
      <c r="D361" s="14" t="s">
        <v>99</v>
      </c>
      <c r="E361" s="14" t="s">
        <v>35</v>
      </c>
      <c r="F361" s="15">
        <v>45405</v>
      </c>
      <c r="G361" s="14" t="s">
        <v>2847</v>
      </c>
      <c r="H361" t="s">
        <v>3524</v>
      </c>
      <c r="I361" s="15"/>
      <c r="J361" s="14" t="s">
        <v>3521</v>
      </c>
      <c r="K361" s="15"/>
      <c r="M361" s="14"/>
    </row>
    <row r="362" spans="1:14" x14ac:dyDescent="0.3">
      <c r="A362">
        <v>361</v>
      </c>
      <c r="B362" s="14" t="s">
        <v>2638</v>
      </c>
      <c r="C362" s="14" t="s">
        <v>2216</v>
      </c>
      <c r="D362" s="14" t="s">
        <v>99</v>
      </c>
      <c r="E362" s="14" t="s">
        <v>35</v>
      </c>
      <c r="F362" s="15">
        <v>45387</v>
      </c>
      <c r="G362" s="14" t="s">
        <v>2847</v>
      </c>
      <c r="H362" t="s">
        <v>3524</v>
      </c>
      <c r="I362" s="15"/>
      <c r="J362" s="14" t="s">
        <v>3521</v>
      </c>
      <c r="K362" s="15"/>
      <c r="M362" s="14"/>
    </row>
    <row r="363" spans="1:14" x14ac:dyDescent="0.3">
      <c r="A363">
        <v>362</v>
      </c>
      <c r="B363" s="14" t="s">
        <v>2634</v>
      </c>
      <c r="C363" s="14" t="s">
        <v>404</v>
      </c>
      <c r="D363" s="14" t="s">
        <v>99</v>
      </c>
      <c r="E363" s="14" t="s">
        <v>35</v>
      </c>
      <c r="F363" s="15">
        <v>45387</v>
      </c>
      <c r="G363" s="14" t="s">
        <v>2847</v>
      </c>
      <c r="H363" t="s">
        <v>3524</v>
      </c>
      <c r="I363" s="15"/>
      <c r="J363" s="14" t="s">
        <v>3521</v>
      </c>
      <c r="K363" s="15"/>
      <c r="M363" s="14"/>
    </row>
    <row r="364" spans="1:14" x14ac:dyDescent="0.3">
      <c r="A364">
        <v>363</v>
      </c>
      <c r="B364" s="14" t="s">
        <v>2338</v>
      </c>
      <c r="C364" s="14" t="s">
        <v>207</v>
      </c>
      <c r="D364" s="14" t="s">
        <v>99</v>
      </c>
      <c r="E364" s="14" t="s">
        <v>35</v>
      </c>
      <c r="F364" s="15">
        <v>45292</v>
      </c>
      <c r="G364" s="14" t="s">
        <v>2847</v>
      </c>
      <c r="H364" t="s">
        <v>3524</v>
      </c>
      <c r="I364" s="15"/>
      <c r="J364" s="14" t="s">
        <v>3521</v>
      </c>
      <c r="K364" s="15"/>
      <c r="M364" s="14"/>
    </row>
    <row r="365" spans="1:14" x14ac:dyDescent="0.3">
      <c r="A365">
        <v>364</v>
      </c>
      <c r="B365" s="14" t="s">
        <v>2772</v>
      </c>
      <c r="C365" s="14" t="s">
        <v>2218</v>
      </c>
      <c r="D365" s="14" t="s">
        <v>99</v>
      </c>
      <c r="E365" s="14" t="s">
        <v>35</v>
      </c>
      <c r="F365" s="15">
        <v>45408</v>
      </c>
      <c r="G365" s="14" t="s">
        <v>2847</v>
      </c>
      <c r="H365" t="s">
        <v>3524</v>
      </c>
      <c r="I365" s="15"/>
      <c r="J365" s="14" t="s">
        <v>3521</v>
      </c>
      <c r="K365" s="15"/>
      <c r="M365" s="14"/>
    </row>
    <row r="366" spans="1:14" x14ac:dyDescent="0.3">
      <c r="A366">
        <v>365</v>
      </c>
      <c r="B366" s="14" t="s">
        <v>2651</v>
      </c>
      <c r="C366" s="14" t="s">
        <v>419</v>
      </c>
      <c r="D366" s="14" t="s">
        <v>99</v>
      </c>
      <c r="E366" s="14" t="s">
        <v>35</v>
      </c>
      <c r="F366" s="15">
        <v>45393</v>
      </c>
      <c r="G366" s="14" t="s">
        <v>2847</v>
      </c>
      <c r="H366" t="s">
        <v>3524</v>
      </c>
      <c r="I366" s="15"/>
      <c r="J366" s="14" t="s">
        <v>3521</v>
      </c>
      <c r="K366" s="15"/>
      <c r="M366" s="14"/>
    </row>
    <row r="367" spans="1:14" x14ac:dyDescent="0.3">
      <c r="A367">
        <v>366</v>
      </c>
      <c r="B367" s="14" t="s">
        <v>2659</v>
      </c>
      <c r="C367" s="14" t="s">
        <v>427</v>
      </c>
      <c r="D367" s="14" t="s">
        <v>99</v>
      </c>
      <c r="E367" s="14" t="s">
        <v>35</v>
      </c>
      <c r="F367" s="15">
        <v>45399</v>
      </c>
      <c r="G367" s="14" t="s">
        <v>2847</v>
      </c>
      <c r="H367" t="s">
        <v>3524</v>
      </c>
      <c r="I367" s="15"/>
      <c r="J367" s="14" t="s">
        <v>3521</v>
      </c>
      <c r="K367" s="15"/>
      <c r="M367" s="14"/>
    </row>
    <row r="368" spans="1:14" x14ac:dyDescent="0.3">
      <c r="A368">
        <v>367</v>
      </c>
      <c r="B368" s="14" t="s">
        <v>2669</v>
      </c>
      <c r="C368" s="14" t="s">
        <v>437</v>
      </c>
      <c r="D368" s="14" t="s">
        <v>99</v>
      </c>
      <c r="E368" s="14" t="s">
        <v>35</v>
      </c>
      <c r="F368" s="15">
        <v>45388</v>
      </c>
      <c r="G368" s="14" t="s">
        <v>2848</v>
      </c>
      <c r="H368" t="s">
        <v>3524</v>
      </c>
      <c r="I368" s="15"/>
      <c r="J368" s="14" t="s">
        <v>3521</v>
      </c>
      <c r="K368" s="15"/>
      <c r="M368" s="14"/>
    </row>
    <row r="369" spans="1:14" x14ac:dyDescent="0.3">
      <c r="A369">
        <v>368</v>
      </c>
      <c r="B369" s="14" t="s">
        <v>2724</v>
      </c>
      <c r="C369" s="14" t="s">
        <v>485</v>
      </c>
      <c r="D369" s="14" t="s">
        <v>99</v>
      </c>
      <c r="E369" s="14" t="s">
        <v>35</v>
      </c>
      <c r="F369" s="15">
        <v>45405</v>
      </c>
      <c r="G369" s="14" t="s">
        <v>3539</v>
      </c>
      <c r="H369" t="s">
        <v>3524</v>
      </c>
      <c r="I369" s="15"/>
      <c r="J369" s="14" t="s">
        <v>3521</v>
      </c>
      <c r="K369" s="15"/>
      <c r="M369" s="14"/>
    </row>
    <row r="370" spans="1:14" x14ac:dyDescent="0.3">
      <c r="A370">
        <v>369</v>
      </c>
      <c r="B370" s="14" t="s">
        <v>2721</v>
      </c>
      <c r="C370" s="14" t="s">
        <v>482</v>
      </c>
      <c r="D370" s="14" t="s">
        <v>99</v>
      </c>
      <c r="E370" s="14" t="s">
        <v>35</v>
      </c>
      <c r="F370" s="15">
        <v>45407</v>
      </c>
      <c r="G370" s="14" t="s">
        <v>2848</v>
      </c>
      <c r="H370" t="s">
        <v>3524</v>
      </c>
      <c r="I370" s="15"/>
      <c r="J370" s="14" t="s">
        <v>3521</v>
      </c>
      <c r="K370" s="15"/>
      <c r="M370" s="14"/>
    </row>
    <row r="371" spans="1:14" x14ac:dyDescent="0.3">
      <c r="A371">
        <v>370</v>
      </c>
      <c r="B371" s="14" t="s">
        <v>2689</v>
      </c>
      <c r="C371" s="14" t="s">
        <v>454</v>
      </c>
      <c r="D371" s="14" t="s">
        <v>100</v>
      </c>
      <c r="E371" s="14" t="s">
        <v>36</v>
      </c>
      <c r="F371" s="15">
        <v>45400</v>
      </c>
      <c r="G371" s="14" t="s">
        <v>2847</v>
      </c>
      <c r="H371" t="s">
        <v>3501</v>
      </c>
      <c r="I371" s="15">
        <v>45412</v>
      </c>
      <c r="J371" s="14" t="s">
        <v>2852</v>
      </c>
      <c r="K371" s="15"/>
      <c r="M371" s="14"/>
      <c r="N371">
        <v>12</v>
      </c>
    </row>
    <row r="372" spans="1:14" x14ac:dyDescent="0.3">
      <c r="A372">
        <v>371</v>
      </c>
      <c r="B372" s="14" t="s">
        <v>2647</v>
      </c>
      <c r="C372" s="14" t="s">
        <v>415</v>
      </c>
      <c r="D372" s="14" t="s">
        <v>100</v>
      </c>
      <c r="E372" s="14" t="s">
        <v>36</v>
      </c>
      <c r="F372" s="15">
        <v>45391</v>
      </c>
      <c r="G372" s="14" t="s">
        <v>2847</v>
      </c>
      <c r="H372" t="s">
        <v>3501</v>
      </c>
      <c r="I372" s="15">
        <v>45412</v>
      </c>
      <c r="J372" s="14" t="s">
        <v>2852</v>
      </c>
      <c r="K372" s="15"/>
      <c r="M372" s="14"/>
      <c r="N372">
        <v>21</v>
      </c>
    </row>
    <row r="373" spans="1:14" x14ac:dyDescent="0.3">
      <c r="A373">
        <v>372</v>
      </c>
      <c r="B373" s="14" t="s">
        <v>2796</v>
      </c>
      <c r="C373" s="14" t="s">
        <v>550</v>
      </c>
      <c r="D373" s="14" t="s">
        <v>100</v>
      </c>
      <c r="E373" s="14" t="s">
        <v>36</v>
      </c>
      <c r="F373" s="15">
        <v>45411</v>
      </c>
      <c r="G373" s="14" t="s">
        <v>2848</v>
      </c>
      <c r="H373" t="s">
        <v>3501</v>
      </c>
      <c r="I373" s="15">
        <v>45416</v>
      </c>
      <c r="J373" s="14"/>
      <c r="K373" s="15">
        <v>45419</v>
      </c>
      <c r="L373" t="s">
        <v>2851</v>
      </c>
      <c r="M373" s="14"/>
      <c r="N373">
        <v>40</v>
      </c>
    </row>
    <row r="374" spans="1:14" x14ac:dyDescent="0.3">
      <c r="A374">
        <v>373</v>
      </c>
      <c r="B374" s="14" t="s">
        <v>2519</v>
      </c>
      <c r="C374" s="14" t="s">
        <v>317</v>
      </c>
      <c r="D374" s="14" t="s">
        <v>100</v>
      </c>
      <c r="E374" s="14" t="s">
        <v>36</v>
      </c>
      <c r="F374" s="15">
        <v>45352</v>
      </c>
      <c r="G374" s="14" t="s">
        <v>2848</v>
      </c>
      <c r="H374" t="s">
        <v>3501</v>
      </c>
      <c r="I374" s="15">
        <v>45383</v>
      </c>
      <c r="J374" s="14"/>
      <c r="K374" s="15"/>
      <c r="M374" s="14"/>
      <c r="N374">
        <v>99</v>
      </c>
    </row>
    <row r="375" spans="1:14" x14ac:dyDescent="0.3">
      <c r="A375">
        <v>374</v>
      </c>
      <c r="B375" s="14" t="s">
        <v>2470</v>
      </c>
      <c r="C375" s="14" t="s">
        <v>279</v>
      </c>
      <c r="D375" s="14" t="s">
        <v>100</v>
      </c>
      <c r="E375" s="14" t="s">
        <v>36</v>
      </c>
      <c r="F375" s="15">
        <v>45327</v>
      </c>
      <c r="G375" s="14" t="s">
        <v>2848</v>
      </c>
      <c r="H375" t="s">
        <v>3501</v>
      </c>
      <c r="I375" s="15">
        <v>45349</v>
      </c>
      <c r="J375" s="14"/>
      <c r="K375" s="15"/>
      <c r="M375" s="14"/>
      <c r="N375">
        <v>124</v>
      </c>
    </row>
    <row r="376" spans="1:14" x14ac:dyDescent="0.3">
      <c r="A376">
        <v>375</v>
      </c>
      <c r="B376" s="14" t="s">
        <v>2456</v>
      </c>
      <c r="C376" s="14" t="s">
        <v>265</v>
      </c>
      <c r="D376" s="14" t="s">
        <v>100</v>
      </c>
      <c r="E376" s="14" t="s">
        <v>36</v>
      </c>
      <c r="F376" s="15">
        <v>45321</v>
      </c>
      <c r="G376" s="14" t="s">
        <v>2848</v>
      </c>
      <c r="H376" t="s">
        <v>3501</v>
      </c>
      <c r="I376" s="15">
        <v>45337</v>
      </c>
      <c r="J376" s="14"/>
      <c r="K376" s="15"/>
      <c r="M376" s="14"/>
      <c r="N376">
        <v>130</v>
      </c>
    </row>
    <row r="377" spans="1:14" x14ac:dyDescent="0.3">
      <c r="A377">
        <v>376</v>
      </c>
      <c r="B377" s="14" t="s">
        <v>2439</v>
      </c>
      <c r="C377" s="14" t="s">
        <v>255</v>
      </c>
      <c r="D377" s="14" t="s">
        <v>100</v>
      </c>
      <c r="E377" s="14" t="s">
        <v>36</v>
      </c>
      <c r="F377" s="15">
        <v>45316</v>
      </c>
      <c r="G377" s="14" t="s">
        <v>2847</v>
      </c>
      <c r="H377" t="s">
        <v>3501</v>
      </c>
      <c r="I377" s="15">
        <v>45324</v>
      </c>
      <c r="J377" s="14"/>
      <c r="K377" s="15"/>
      <c r="L377" t="s">
        <v>2851</v>
      </c>
      <c r="M377" s="14"/>
      <c r="N377">
        <v>135</v>
      </c>
    </row>
    <row r="378" spans="1:14" x14ac:dyDescent="0.3">
      <c r="A378">
        <v>377</v>
      </c>
      <c r="B378" s="14" t="s">
        <v>2714</v>
      </c>
      <c r="C378" s="14" t="s">
        <v>476</v>
      </c>
      <c r="D378" s="14" t="s">
        <v>100</v>
      </c>
      <c r="E378" s="14" t="s">
        <v>36</v>
      </c>
      <c r="F378" s="15">
        <v>45404</v>
      </c>
      <c r="G378" s="14" t="s">
        <v>2848</v>
      </c>
      <c r="H378" t="s">
        <v>3500</v>
      </c>
      <c r="I378" s="15">
        <v>45405</v>
      </c>
      <c r="J378" s="14"/>
      <c r="K378" s="15"/>
      <c r="M378" s="14"/>
      <c r="N378">
        <v>47</v>
      </c>
    </row>
    <row r="379" spans="1:14" x14ac:dyDescent="0.3">
      <c r="A379">
        <v>378</v>
      </c>
      <c r="B379" s="14" t="s">
        <v>2713</v>
      </c>
      <c r="C379" s="14" t="s">
        <v>475</v>
      </c>
      <c r="D379" s="14" t="s">
        <v>100</v>
      </c>
      <c r="E379" s="14" t="s">
        <v>36</v>
      </c>
      <c r="F379" s="15">
        <v>45404</v>
      </c>
      <c r="G379" s="14" t="s">
        <v>2845</v>
      </c>
      <c r="H379" t="s">
        <v>3500</v>
      </c>
      <c r="I379" s="15">
        <v>45406</v>
      </c>
      <c r="J379" s="14"/>
      <c r="K379" s="15"/>
      <c r="M379" s="14"/>
      <c r="N379">
        <v>47</v>
      </c>
    </row>
    <row r="380" spans="1:14" x14ac:dyDescent="0.3">
      <c r="A380">
        <v>379</v>
      </c>
      <c r="B380" s="14" t="s">
        <v>2656</v>
      </c>
      <c r="C380" s="14" t="s">
        <v>424</v>
      </c>
      <c r="D380" s="14" t="s">
        <v>100</v>
      </c>
      <c r="E380" s="14" t="s">
        <v>36</v>
      </c>
      <c r="F380" s="15">
        <v>45398</v>
      </c>
      <c r="G380" s="14" t="s">
        <v>2847</v>
      </c>
      <c r="H380" t="s">
        <v>3500</v>
      </c>
      <c r="I380" s="15">
        <v>45401</v>
      </c>
      <c r="J380" s="14"/>
      <c r="K380" s="15"/>
      <c r="M380" s="14"/>
      <c r="N380">
        <v>53</v>
      </c>
    </row>
    <row r="381" spans="1:14" x14ac:dyDescent="0.3">
      <c r="A381">
        <v>380</v>
      </c>
      <c r="B381" s="14" t="s">
        <v>2657</v>
      </c>
      <c r="C381" s="14" t="s">
        <v>425</v>
      </c>
      <c r="D381" s="14" t="s">
        <v>100</v>
      </c>
      <c r="E381" s="14" t="s">
        <v>36</v>
      </c>
      <c r="F381" s="15">
        <v>45398</v>
      </c>
      <c r="G381" s="14" t="s">
        <v>2847</v>
      </c>
      <c r="H381" t="s">
        <v>3500</v>
      </c>
      <c r="I381" s="15">
        <v>45401</v>
      </c>
      <c r="J381" s="14"/>
      <c r="K381" s="15"/>
      <c r="M381" s="14"/>
      <c r="N381">
        <v>53</v>
      </c>
    </row>
    <row r="382" spans="1:14" x14ac:dyDescent="0.3">
      <c r="A382">
        <v>381</v>
      </c>
      <c r="B382" s="14" t="s">
        <v>2650</v>
      </c>
      <c r="C382" s="14" t="s">
        <v>418</v>
      </c>
      <c r="D382" s="14" t="s">
        <v>100</v>
      </c>
      <c r="E382" s="14" t="s">
        <v>36</v>
      </c>
      <c r="F382" s="15">
        <v>45393</v>
      </c>
      <c r="G382" s="14" t="s">
        <v>2847</v>
      </c>
      <c r="H382" t="s">
        <v>3500</v>
      </c>
      <c r="I382" s="15">
        <v>45401</v>
      </c>
      <c r="J382" s="14"/>
      <c r="K382" s="15"/>
      <c r="M382" s="14"/>
      <c r="N382">
        <v>58</v>
      </c>
    </row>
    <row r="383" spans="1:14" x14ac:dyDescent="0.3">
      <c r="A383">
        <v>382</v>
      </c>
      <c r="B383" s="14" t="s">
        <v>2644</v>
      </c>
      <c r="C383" s="14" t="s">
        <v>412</v>
      </c>
      <c r="D383" s="14" t="s">
        <v>100</v>
      </c>
      <c r="E383" s="14" t="s">
        <v>36</v>
      </c>
      <c r="F383" s="15">
        <v>45393</v>
      </c>
      <c r="G383" s="14" t="s">
        <v>2847</v>
      </c>
      <c r="H383" t="s">
        <v>3500</v>
      </c>
      <c r="I383" s="15">
        <v>45405</v>
      </c>
      <c r="J383" s="14"/>
      <c r="K383" s="15"/>
      <c r="M383" s="14"/>
      <c r="N383">
        <v>58</v>
      </c>
    </row>
    <row r="384" spans="1:14" x14ac:dyDescent="0.3">
      <c r="A384">
        <v>383</v>
      </c>
      <c r="B384" s="14" t="s">
        <v>2643</v>
      </c>
      <c r="C384" s="14" t="s">
        <v>344</v>
      </c>
      <c r="D384" s="14" t="s">
        <v>100</v>
      </c>
      <c r="E384" s="14" t="s">
        <v>36</v>
      </c>
      <c r="F384" s="15">
        <v>45392</v>
      </c>
      <c r="G384" s="14" t="s">
        <v>2845</v>
      </c>
      <c r="H384" t="s">
        <v>3500</v>
      </c>
      <c r="I384" s="15">
        <v>45401</v>
      </c>
      <c r="J384" s="14"/>
      <c r="K384" s="15"/>
      <c r="M384" s="14"/>
      <c r="N384">
        <v>59</v>
      </c>
    </row>
    <row r="385" spans="1:14" x14ac:dyDescent="0.3">
      <c r="A385">
        <v>384</v>
      </c>
      <c r="B385" s="14" t="s">
        <v>2665</v>
      </c>
      <c r="C385" s="14" t="s">
        <v>433</v>
      </c>
      <c r="D385" s="14" t="s">
        <v>100</v>
      </c>
      <c r="E385" s="14" t="s">
        <v>36</v>
      </c>
      <c r="F385" s="15">
        <v>45392</v>
      </c>
      <c r="G385" s="14" t="s">
        <v>2845</v>
      </c>
      <c r="H385" t="s">
        <v>3500</v>
      </c>
      <c r="I385" s="15">
        <v>45401</v>
      </c>
      <c r="J385" s="14"/>
      <c r="K385" s="15"/>
      <c r="M385" s="14"/>
      <c r="N385">
        <v>59</v>
      </c>
    </row>
    <row r="386" spans="1:14" x14ac:dyDescent="0.3">
      <c r="A386">
        <v>385</v>
      </c>
      <c r="B386" s="14" t="s">
        <v>2624</v>
      </c>
      <c r="C386" s="14" t="s">
        <v>2215</v>
      </c>
      <c r="D386" s="14" t="s">
        <v>100</v>
      </c>
      <c r="E386" s="14" t="s">
        <v>36</v>
      </c>
      <c r="F386" s="15">
        <v>45384</v>
      </c>
      <c r="G386" s="14" t="s">
        <v>2847</v>
      </c>
      <c r="H386" t="s">
        <v>3500</v>
      </c>
      <c r="I386" s="15">
        <v>45386</v>
      </c>
      <c r="J386" s="14"/>
      <c r="K386" s="15"/>
      <c r="M386" s="14"/>
      <c r="N386">
        <v>67</v>
      </c>
    </row>
    <row r="387" spans="1:14" x14ac:dyDescent="0.3">
      <c r="A387">
        <v>386</v>
      </c>
      <c r="B387" s="14" t="s">
        <v>2622</v>
      </c>
      <c r="C387" s="14" t="s">
        <v>393</v>
      </c>
      <c r="D387" s="14" t="s">
        <v>100</v>
      </c>
      <c r="E387" s="14" t="s">
        <v>36</v>
      </c>
      <c r="F387" s="15">
        <v>45383</v>
      </c>
      <c r="G387" s="14" t="s">
        <v>2848</v>
      </c>
      <c r="H387" t="s">
        <v>3500</v>
      </c>
      <c r="I387" s="15">
        <v>45386</v>
      </c>
      <c r="J387" s="14"/>
      <c r="K387" s="15"/>
      <c r="M387" s="14"/>
      <c r="N387">
        <v>68</v>
      </c>
    </row>
    <row r="388" spans="1:14" x14ac:dyDescent="0.3">
      <c r="A388">
        <v>387</v>
      </c>
      <c r="B388" s="14" t="s">
        <v>2595</v>
      </c>
      <c r="C388" s="14" t="s">
        <v>373</v>
      </c>
      <c r="D388" s="14" t="s">
        <v>100</v>
      </c>
      <c r="E388" s="14" t="s">
        <v>36</v>
      </c>
      <c r="F388" s="15">
        <v>45376</v>
      </c>
      <c r="G388" s="14" t="s">
        <v>2848</v>
      </c>
      <c r="H388" t="s">
        <v>3500</v>
      </c>
      <c r="I388" s="15">
        <v>45377</v>
      </c>
      <c r="J388" s="14"/>
      <c r="K388" s="15"/>
      <c r="L388" t="s">
        <v>2851</v>
      </c>
      <c r="M388" s="14"/>
      <c r="N388">
        <v>75</v>
      </c>
    </row>
    <row r="389" spans="1:14" x14ac:dyDescent="0.3">
      <c r="A389">
        <v>388</v>
      </c>
      <c r="B389" s="14" t="s">
        <v>2573</v>
      </c>
      <c r="C389" s="14" t="s">
        <v>357</v>
      </c>
      <c r="D389" s="14" t="s">
        <v>100</v>
      </c>
      <c r="E389" s="14" t="s">
        <v>36</v>
      </c>
      <c r="F389" s="15">
        <v>45368</v>
      </c>
      <c r="G389" s="14" t="s">
        <v>2848</v>
      </c>
      <c r="H389" t="s">
        <v>3500</v>
      </c>
      <c r="I389" s="15">
        <v>45372</v>
      </c>
      <c r="J389" s="14"/>
      <c r="K389" s="15"/>
      <c r="M389" s="14"/>
      <c r="N389">
        <v>83</v>
      </c>
    </row>
    <row r="390" spans="1:14" x14ac:dyDescent="0.3">
      <c r="A390">
        <v>389</v>
      </c>
      <c r="B390" s="14" t="s">
        <v>2518</v>
      </c>
      <c r="C390" s="14" t="s">
        <v>299</v>
      </c>
      <c r="D390" s="14" t="s">
        <v>100</v>
      </c>
      <c r="E390" s="14" t="s">
        <v>36</v>
      </c>
      <c r="F390" s="15">
        <v>45352</v>
      </c>
      <c r="G390" s="14" t="s">
        <v>2848</v>
      </c>
      <c r="H390" t="s">
        <v>3500</v>
      </c>
      <c r="I390" s="15">
        <v>45377</v>
      </c>
      <c r="J390" s="14"/>
      <c r="K390" s="15"/>
      <c r="M390" s="14"/>
      <c r="N390">
        <v>99</v>
      </c>
    </row>
    <row r="391" spans="1:14" x14ac:dyDescent="0.3">
      <c r="A391">
        <v>390</v>
      </c>
      <c r="B391" s="14" t="s">
        <v>2482</v>
      </c>
      <c r="C391" s="14" t="s">
        <v>290</v>
      </c>
      <c r="D391" s="14" t="s">
        <v>100</v>
      </c>
      <c r="E391" s="14" t="s">
        <v>36</v>
      </c>
      <c r="F391" s="15">
        <v>45343</v>
      </c>
      <c r="G391" s="14" t="s">
        <v>2845</v>
      </c>
      <c r="H391" t="s">
        <v>3500</v>
      </c>
      <c r="I391" s="15">
        <v>45345</v>
      </c>
      <c r="J391" s="14"/>
      <c r="K391" s="15"/>
      <c r="M391" s="14"/>
      <c r="N391">
        <v>108</v>
      </c>
    </row>
    <row r="392" spans="1:14" x14ac:dyDescent="0.3">
      <c r="A392">
        <v>391</v>
      </c>
      <c r="B392" s="14" t="s">
        <v>2480</v>
      </c>
      <c r="C392" s="14" t="s">
        <v>288</v>
      </c>
      <c r="D392" s="14" t="s">
        <v>100</v>
      </c>
      <c r="E392" s="14" t="s">
        <v>36</v>
      </c>
      <c r="F392" s="15">
        <v>45342</v>
      </c>
      <c r="G392" s="14" t="s">
        <v>2845</v>
      </c>
      <c r="H392" t="s">
        <v>3500</v>
      </c>
      <c r="I392" s="15">
        <v>45346</v>
      </c>
      <c r="J392" s="14"/>
      <c r="K392" s="15"/>
      <c r="M392" s="14"/>
      <c r="N392">
        <v>109</v>
      </c>
    </row>
    <row r="393" spans="1:14" x14ac:dyDescent="0.3">
      <c r="A393">
        <v>392</v>
      </c>
      <c r="B393" s="14" t="s">
        <v>2471</v>
      </c>
      <c r="C393" s="14" t="s">
        <v>280</v>
      </c>
      <c r="D393" s="14" t="s">
        <v>100</v>
      </c>
      <c r="E393" s="14" t="s">
        <v>36</v>
      </c>
      <c r="F393" s="15">
        <v>45327</v>
      </c>
      <c r="G393" s="14" t="s">
        <v>2848</v>
      </c>
      <c r="H393" t="s">
        <v>3500</v>
      </c>
      <c r="I393" s="15">
        <v>45328</v>
      </c>
      <c r="J393" s="14"/>
      <c r="K393" s="15"/>
      <c r="M393" s="14"/>
      <c r="N393">
        <v>124</v>
      </c>
    </row>
    <row r="394" spans="1:14" x14ac:dyDescent="0.3">
      <c r="A394">
        <v>393</v>
      </c>
      <c r="B394" s="14" t="s">
        <v>2444</v>
      </c>
      <c r="C394" s="14" t="s">
        <v>259</v>
      </c>
      <c r="D394" s="14" t="s">
        <v>100</v>
      </c>
      <c r="E394" s="14" t="s">
        <v>36</v>
      </c>
      <c r="F394" s="15">
        <v>45317</v>
      </c>
      <c r="G394" s="14" t="s">
        <v>2848</v>
      </c>
      <c r="H394" t="s">
        <v>3500</v>
      </c>
      <c r="I394" s="15">
        <v>45321</v>
      </c>
      <c r="J394" s="14"/>
      <c r="K394" s="15"/>
      <c r="M394" s="14"/>
      <c r="N394">
        <v>134</v>
      </c>
    </row>
    <row r="395" spans="1:14" x14ac:dyDescent="0.3">
      <c r="A395">
        <v>394</v>
      </c>
      <c r="B395" s="14" t="s">
        <v>2432</v>
      </c>
      <c r="C395" s="14" t="s">
        <v>253</v>
      </c>
      <c r="D395" s="14" t="s">
        <v>100</v>
      </c>
      <c r="E395" s="14" t="s">
        <v>36</v>
      </c>
      <c r="F395" s="15">
        <v>45313</v>
      </c>
      <c r="G395" s="14" t="s">
        <v>2847</v>
      </c>
      <c r="H395" t="s">
        <v>3500</v>
      </c>
      <c r="I395" s="15">
        <v>45321</v>
      </c>
      <c r="J395" s="14"/>
      <c r="K395" s="15"/>
      <c r="M395" s="14"/>
      <c r="N395">
        <v>138</v>
      </c>
    </row>
    <row r="396" spans="1:14" x14ac:dyDescent="0.3">
      <c r="A396">
        <v>395</v>
      </c>
      <c r="B396" s="14" t="s">
        <v>2410</v>
      </c>
      <c r="C396" s="14" t="s">
        <v>246</v>
      </c>
      <c r="D396" s="14" t="s">
        <v>100</v>
      </c>
      <c r="E396" s="14" t="s">
        <v>36</v>
      </c>
      <c r="F396" s="15">
        <v>45306</v>
      </c>
      <c r="G396" s="14" t="s">
        <v>2848</v>
      </c>
      <c r="H396" t="s">
        <v>3500</v>
      </c>
      <c r="I396" s="15">
        <v>45320</v>
      </c>
      <c r="J396" s="14"/>
      <c r="K396" s="15"/>
      <c r="M396" s="14"/>
      <c r="N396">
        <v>145</v>
      </c>
    </row>
    <row r="397" spans="1:14" x14ac:dyDescent="0.3">
      <c r="A397">
        <v>396</v>
      </c>
      <c r="B397" s="14" t="s">
        <v>2384</v>
      </c>
      <c r="C397" s="14" t="s">
        <v>235</v>
      </c>
      <c r="D397" s="14" t="s">
        <v>100</v>
      </c>
      <c r="E397" s="14" t="s">
        <v>36</v>
      </c>
      <c r="F397" s="15">
        <v>45298</v>
      </c>
      <c r="G397" s="14" t="s">
        <v>2848</v>
      </c>
      <c r="H397" t="s">
        <v>3500</v>
      </c>
      <c r="I397" s="15">
        <v>45310</v>
      </c>
      <c r="J397" s="14"/>
      <c r="K397" s="15"/>
      <c r="M397" s="14"/>
      <c r="N397">
        <v>153</v>
      </c>
    </row>
    <row r="398" spans="1:14" x14ac:dyDescent="0.3">
      <c r="A398">
        <v>397</v>
      </c>
      <c r="B398" s="14" t="s">
        <v>2343</v>
      </c>
      <c r="C398" s="14" t="s">
        <v>212</v>
      </c>
      <c r="D398" s="14" t="s">
        <v>100</v>
      </c>
      <c r="E398" s="14" t="s">
        <v>36</v>
      </c>
      <c r="F398" s="15">
        <v>45292</v>
      </c>
      <c r="G398" s="14" t="s">
        <v>2847</v>
      </c>
      <c r="H398" t="s">
        <v>3500</v>
      </c>
      <c r="I398" s="15">
        <v>45296</v>
      </c>
      <c r="J398" s="14"/>
      <c r="K398" s="15"/>
      <c r="M398" s="14"/>
      <c r="N398">
        <v>159</v>
      </c>
    </row>
    <row r="399" spans="1:14" x14ac:dyDescent="0.3">
      <c r="A399">
        <v>398</v>
      </c>
      <c r="B399" s="14" t="s">
        <v>2348</v>
      </c>
      <c r="C399" s="14" t="s">
        <v>217</v>
      </c>
      <c r="D399" s="14" t="s">
        <v>100</v>
      </c>
      <c r="E399" s="14" t="s">
        <v>36</v>
      </c>
      <c r="F399" s="15">
        <v>45292</v>
      </c>
      <c r="G399" s="14" t="s">
        <v>2845</v>
      </c>
      <c r="H399" t="s">
        <v>3500</v>
      </c>
      <c r="I399" s="15">
        <v>45292</v>
      </c>
      <c r="J399" s="14"/>
      <c r="K399" s="15"/>
      <c r="M399" s="14"/>
      <c r="N399">
        <v>159</v>
      </c>
    </row>
    <row r="400" spans="1:14" x14ac:dyDescent="0.3">
      <c r="A400">
        <v>399</v>
      </c>
      <c r="B400" s="14" t="s">
        <v>2336</v>
      </c>
      <c r="C400" s="14" t="s">
        <v>2113</v>
      </c>
      <c r="D400" s="14" t="s">
        <v>100</v>
      </c>
      <c r="E400" s="14" t="s">
        <v>36</v>
      </c>
      <c r="F400" s="15">
        <v>45292</v>
      </c>
      <c r="G400" s="14" t="s">
        <v>2848</v>
      </c>
      <c r="H400" t="s">
        <v>3500</v>
      </c>
      <c r="I400" s="15">
        <v>45310</v>
      </c>
      <c r="J400" s="14"/>
      <c r="K400" s="15"/>
      <c r="M400" s="14"/>
      <c r="N400">
        <v>159</v>
      </c>
    </row>
    <row r="401" spans="1:14" x14ac:dyDescent="0.3">
      <c r="A401">
        <v>400</v>
      </c>
      <c r="B401" s="14" t="s">
        <v>2278</v>
      </c>
      <c r="C401" s="14" t="s">
        <v>169</v>
      </c>
      <c r="D401" s="14" t="s">
        <v>100</v>
      </c>
      <c r="E401" s="14" t="s">
        <v>36</v>
      </c>
      <c r="F401" s="15">
        <v>45261</v>
      </c>
      <c r="G401" s="14" t="s">
        <v>2846</v>
      </c>
      <c r="H401" t="s">
        <v>3524</v>
      </c>
      <c r="I401" s="15"/>
      <c r="J401" s="14"/>
      <c r="K401" s="15"/>
      <c r="M401" s="14"/>
      <c r="N401">
        <v>190</v>
      </c>
    </row>
    <row r="402" spans="1:14" x14ac:dyDescent="0.3">
      <c r="A402">
        <v>401</v>
      </c>
      <c r="B402" s="14" t="s">
        <v>2821</v>
      </c>
      <c r="C402" s="14" t="s">
        <v>574</v>
      </c>
      <c r="D402" s="14" t="s">
        <v>100</v>
      </c>
      <c r="E402" s="14" t="s">
        <v>36</v>
      </c>
      <c r="F402" s="15">
        <v>45415</v>
      </c>
      <c r="G402" s="14" t="s">
        <v>3539</v>
      </c>
      <c r="H402" t="s">
        <v>3523</v>
      </c>
      <c r="I402" s="15"/>
      <c r="J402" s="14"/>
      <c r="K402" s="15"/>
      <c r="M402" s="14"/>
      <c r="N402">
        <v>36</v>
      </c>
    </row>
    <row r="403" spans="1:14" x14ac:dyDescent="0.3">
      <c r="A403">
        <v>402</v>
      </c>
      <c r="B403" s="14" t="s">
        <v>2799</v>
      </c>
      <c r="C403" s="14" t="s">
        <v>552</v>
      </c>
      <c r="D403" s="14" t="s">
        <v>100</v>
      </c>
      <c r="E403" s="14" t="s">
        <v>36</v>
      </c>
      <c r="F403" s="15">
        <v>45412</v>
      </c>
      <c r="G403" s="14" t="s">
        <v>2848</v>
      </c>
      <c r="H403" t="s">
        <v>3523</v>
      </c>
      <c r="I403" s="15"/>
      <c r="J403" s="14"/>
      <c r="K403" s="15"/>
      <c r="M403" s="14"/>
      <c r="N403">
        <v>39</v>
      </c>
    </row>
    <row r="404" spans="1:14" x14ac:dyDescent="0.3">
      <c r="A404">
        <v>403</v>
      </c>
      <c r="B404" s="14" t="s">
        <v>2779</v>
      </c>
      <c r="C404" s="14" t="s">
        <v>534</v>
      </c>
      <c r="D404" s="14" t="s">
        <v>100</v>
      </c>
      <c r="E404" s="14" t="s">
        <v>36</v>
      </c>
      <c r="F404" s="15">
        <v>45411</v>
      </c>
      <c r="G404" s="14" t="s">
        <v>2847</v>
      </c>
      <c r="H404" t="s">
        <v>3523</v>
      </c>
      <c r="I404" s="15"/>
      <c r="J404" s="14"/>
      <c r="K404" s="15"/>
      <c r="M404" s="14"/>
      <c r="N404">
        <v>40</v>
      </c>
    </row>
    <row r="405" spans="1:14" x14ac:dyDescent="0.3">
      <c r="A405">
        <v>404</v>
      </c>
      <c r="B405" s="14" t="s">
        <v>2782</v>
      </c>
      <c r="C405" s="14" t="s">
        <v>537</v>
      </c>
      <c r="D405" s="14" t="s">
        <v>100</v>
      </c>
      <c r="E405" s="14" t="s">
        <v>36</v>
      </c>
      <c r="F405" s="15">
        <v>45411</v>
      </c>
      <c r="G405" s="14" t="s">
        <v>2847</v>
      </c>
      <c r="H405" t="s">
        <v>3523</v>
      </c>
      <c r="I405" s="15"/>
      <c r="J405" s="14"/>
      <c r="K405" s="15"/>
      <c r="M405" s="14"/>
      <c r="N405">
        <v>40</v>
      </c>
    </row>
    <row r="406" spans="1:14" x14ac:dyDescent="0.3">
      <c r="A406">
        <v>405</v>
      </c>
      <c r="B406" s="14" t="s">
        <v>2780</v>
      </c>
      <c r="C406" s="14" t="s">
        <v>535</v>
      </c>
      <c r="D406" s="14" t="s">
        <v>100</v>
      </c>
      <c r="E406" s="14" t="s">
        <v>36</v>
      </c>
      <c r="F406" s="15">
        <v>45411</v>
      </c>
      <c r="G406" s="14" t="s">
        <v>2847</v>
      </c>
      <c r="H406" t="s">
        <v>3523</v>
      </c>
      <c r="I406" s="15"/>
      <c r="J406" s="14"/>
      <c r="K406" s="15"/>
      <c r="M406" s="14"/>
      <c r="N406">
        <v>40</v>
      </c>
    </row>
    <row r="407" spans="1:14" x14ac:dyDescent="0.3">
      <c r="A407">
        <v>406</v>
      </c>
      <c r="B407" s="14" t="s">
        <v>2773</v>
      </c>
      <c r="C407" s="14" t="s">
        <v>465</v>
      </c>
      <c r="D407" s="14" t="s">
        <v>100</v>
      </c>
      <c r="E407" s="14" t="s">
        <v>36</v>
      </c>
      <c r="F407" s="15">
        <v>45409</v>
      </c>
      <c r="G407" s="14" t="s">
        <v>2847</v>
      </c>
      <c r="H407" t="s">
        <v>3523</v>
      </c>
      <c r="I407" s="15"/>
      <c r="J407" s="14"/>
      <c r="K407" s="15"/>
      <c r="M407" s="14"/>
      <c r="N407">
        <v>42</v>
      </c>
    </row>
    <row r="408" spans="1:14" x14ac:dyDescent="0.3">
      <c r="A408">
        <v>407</v>
      </c>
      <c r="B408" s="14" t="s">
        <v>2753</v>
      </c>
      <c r="C408" s="14" t="s">
        <v>512</v>
      </c>
      <c r="D408" s="14" t="s">
        <v>100</v>
      </c>
      <c r="E408" s="14" t="s">
        <v>36</v>
      </c>
      <c r="F408" s="15">
        <v>45407</v>
      </c>
      <c r="G408" s="14" t="s">
        <v>2847</v>
      </c>
      <c r="H408" t="s">
        <v>3523</v>
      </c>
      <c r="I408" s="15"/>
      <c r="J408" s="14"/>
      <c r="K408" s="15"/>
      <c r="M408" s="14"/>
      <c r="N408">
        <v>44</v>
      </c>
    </row>
    <row r="409" spans="1:14" x14ac:dyDescent="0.3">
      <c r="A409">
        <v>408</v>
      </c>
      <c r="B409" s="14" t="s">
        <v>2759</v>
      </c>
      <c r="C409" s="14" t="s">
        <v>517</v>
      </c>
      <c r="D409" s="14" t="s">
        <v>100</v>
      </c>
      <c r="E409" s="14" t="s">
        <v>36</v>
      </c>
      <c r="F409" s="15">
        <v>45407</v>
      </c>
      <c r="G409" s="14" t="s">
        <v>2848</v>
      </c>
      <c r="H409" t="s">
        <v>3523</v>
      </c>
      <c r="I409" s="15"/>
      <c r="J409" s="14"/>
      <c r="K409" s="15"/>
      <c r="M409" s="14"/>
      <c r="N409">
        <v>44</v>
      </c>
    </row>
    <row r="410" spans="1:14" x14ac:dyDescent="0.3">
      <c r="A410">
        <v>409</v>
      </c>
      <c r="B410" s="14" t="s">
        <v>2716</v>
      </c>
      <c r="C410" s="14" t="s">
        <v>478</v>
      </c>
      <c r="D410" s="14" t="s">
        <v>100</v>
      </c>
      <c r="E410" s="14" t="s">
        <v>36</v>
      </c>
      <c r="F410" s="15">
        <v>45405</v>
      </c>
      <c r="G410" s="14" t="s">
        <v>2848</v>
      </c>
      <c r="H410" t="s">
        <v>3523</v>
      </c>
      <c r="I410" s="15"/>
      <c r="J410" s="14"/>
      <c r="K410" s="15"/>
      <c r="M410" s="14"/>
      <c r="N410">
        <v>46</v>
      </c>
    </row>
    <row r="411" spans="1:14" x14ac:dyDescent="0.3">
      <c r="A411">
        <v>410</v>
      </c>
      <c r="B411" s="14" t="s">
        <v>2682</v>
      </c>
      <c r="C411" s="14" t="s">
        <v>449</v>
      </c>
      <c r="D411" s="14" t="s">
        <v>100</v>
      </c>
      <c r="E411" s="14" t="s">
        <v>36</v>
      </c>
      <c r="F411" s="15">
        <v>45400</v>
      </c>
      <c r="G411" s="14" t="s">
        <v>2847</v>
      </c>
      <c r="H411" t="s">
        <v>3523</v>
      </c>
      <c r="I411" s="15"/>
      <c r="J411" s="14"/>
      <c r="K411" s="15"/>
      <c r="M411" s="14"/>
      <c r="N411">
        <v>51</v>
      </c>
    </row>
    <row r="412" spans="1:14" x14ac:dyDescent="0.3">
      <c r="A412">
        <v>411</v>
      </c>
      <c r="B412" s="14" t="s">
        <v>2676</v>
      </c>
      <c r="C412" s="14" t="s">
        <v>443</v>
      </c>
      <c r="D412" s="14" t="s">
        <v>100</v>
      </c>
      <c r="E412" s="14" t="s">
        <v>36</v>
      </c>
      <c r="F412" s="15">
        <v>45400</v>
      </c>
      <c r="G412" s="14" t="s">
        <v>2847</v>
      </c>
      <c r="H412" t="s">
        <v>3523</v>
      </c>
      <c r="I412" s="15"/>
      <c r="J412" s="14"/>
      <c r="K412" s="15"/>
      <c r="M412" s="14"/>
      <c r="N412">
        <v>51</v>
      </c>
    </row>
    <row r="413" spans="1:14" x14ac:dyDescent="0.3">
      <c r="A413">
        <v>412</v>
      </c>
      <c r="B413" s="14" t="s">
        <v>2674</v>
      </c>
      <c r="C413" s="14" t="s">
        <v>442</v>
      </c>
      <c r="D413" s="14" t="s">
        <v>100</v>
      </c>
      <c r="E413" s="14" t="s">
        <v>36</v>
      </c>
      <c r="F413" s="15">
        <v>45399</v>
      </c>
      <c r="G413" s="14" t="s">
        <v>2847</v>
      </c>
      <c r="H413" t="s">
        <v>3523</v>
      </c>
      <c r="I413" s="15"/>
      <c r="J413" s="14"/>
      <c r="K413" s="15"/>
      <c r="M413" s="14"/>
      <c r="N413">
        <v>52</v>
      </c>
    </row>
    <row r="414" spans="1:14" x14ac:dyDescent="0.3">
      <c r="A414">
        <v>413</v>
      </c>
      <c r="B414" s="14" t="s">
        <v>2666</v>
      </c>
      <c r="C414" s="14" t="s">
        <v>434</v>
      </c>
      <c r="D414" s="14" t="s">
        <v>100</v>
      </c>
      <c r="E414" s="14" t="s">
        <v>36</v>
      </c>
      <c r="F414" s="15">
        <v>45393</v>
      </c>
      <c r="G414" s="14" t="s">
        <v>2845</v>
      </c>
      <c r="H414" t="s">
        <v>3523</v>
      </c>
      <c r="I414" s="15"/>
      <c r="J414" s="14"/>
      <c r="K414" s="15"/>
      <c r="M414" s="14"/>
      <c r="N414">
        <v>58</v>
      </c>
    </row>
    <row r="415" spans="1:14" x14ac:dyDescent="0.3">
      <c r="A415">
        <v>414</v>
      </c>
      <c r="B415" s="14" t="s">
        <v>2671</v>
      </c>
      <c r="C415" s="14" t="s">
        <v>439</v>
      </c>
      <c r="D415" s="14" t="s">
        <v>100</v>
      </c>
      <c r="E415" s="14" t="s">
        <v>36</v>
      </c>
      <c r="F415" s="15">
        <v>45390</v>
      </c>
      <c r="G415" s="14" t="s">
        <v>2848</v>
      </c>
      <c r="H415" t="s">
        <v>3523</v>
      </c>
      <c r="I415" s="15"/>
      <c r="J415" s="14"/>
      <c r="K415" s="15"/>
      <c r="M415" s="14"/>
      <c r="N415">
        <v>61</v>
      </c>
    </row>
    <row r="416" spans="1:14" x14ac:dyDescent="0.3">
      <c r="A416">
        <v>415</v>
      </c>
      <c r="B416" s="14" t="s">
        <v>2642</v>
      </c>
      <c r="C416" s="14" t="s">
        <v>411</v>
      </c>
      <c r="D416" s="14" t="s">
        <v>100</v>
      </c>
      <c r="E416" s="14" t="s">
        <v>36</v>
      </c>
      <c r="F416" s="15">
        <v>45387</v>
      </c>
      <c r="G416" s="14" t="s">
        <v>2847</v>
      </c>
      <c r="H416" t="s">
        <v>3523</v>
      </c>
      <c r="I416" s="15"/>
      <c r="J416" s="14"/>
      <c r="K416" s="15"/>
      <c r="M416" s="14"/>
      <c r="N416">
        <v>64</v>
      </c>
    </row>
    <row r="417" spans="1:14" x14ac:dyDescent="0.3">
      <c r="A417">
        <v>416</v>
      </c>
      <c r="B417" s="14" t="s">
        <v>2637</v>
      </c>
      <c r="C417" s="14" t="s">
        <v>407</v>
      </c>
      <c r="D417" s="14" t="s">
        <v>100</v>
      </c>
      <c r="E417" s="14" t="s">
        <v>36</v>
      </c>
      <c r="F417" s="15">
        <v>45387</v>
      </c>
      <c r="G417" s="14" t="s">
        <v>2847</v>
      </c>
      <c r="H417" t="s">
        <v>3523</v>
      </c>
      <c r="I417" s="15"/>
      <c r="J417" s="14"/>
      <c r="K417" s="15"/>
      <c r="M417" s="14"/>
      <c r="N417">
        <v>64</v>
      </c>
    </row>
    <row r="418" spans="1:14" x14ac:dyDescent="0.3">
      <c r="A418">
        <v>417</v>
      </c>
      <c r="B418" s="14" t="s">
        <v>2636</v>
      </c>
      <c r="C418" s="14" t="s">
        <v>406</v>
      </c>
      <c r="D418" s="14" t="s">
        <v>100</v>
      </c>
      <c r="E418" s="14" t="s">
        <v>36</v>
      </c>
      <c r="F418" s="15">
        <v>45387</v>
      </c>
      <c r="G418" s="14" t="s">
        <v>2847</v>
      </c>
      <c r="H418" t="s">
        <v>3523</v>
      </c>
      <c r="I418" s="15"/>
      <c r="J418" s="14"/>
      <c r="K418" s="15"/>
      <c r="M418" s="14"/>
      <c r="N418">
        <v>64</v>
      </c>
    </row>
    <row r="419" spans="1:14" x14ac:dyDescent="0.3">
      <c r="A419">
        <v>418</v>
      </c>
      <c r="B419" s="14" t="s">
        <v>2630</v>
      </c>
      <c r="C419" s="14" t="s">
        <v>400</v>
      </c>
      <c r="D419" s="14" t="s">
        <v>100</v>
      </c>
      <c r="E419" s="14" t="s">
        <v>36</v>
      </c>
      <c r="F419" s="15">
        <v>45386</v>
      </c>
      <c r="G419" s="14" t="s">
        <v>2847</v>
      </c>
      <c r="H419" t="s">
        <v>3523</v>
      </c>
      <c r="I419" s="15"/>
      <c r="J419" s="14"/>
      <c r="K419" s="15"/>
      <c r="M419" s="14"/>
      <c r="N419">
        <v>65</v>
      </c>
    </row>
    <row r="420" spans="1:14" x14ac:dyDescent="0.3">
      <c r="A420">
        <v>419</v>
      </c>
      <c r="B420" s="14" t="s">
        <v>2617</v>
      </c>
      <c r="C420" s="14" t="s">
        <v>2213</v>
      </c>
      <c r="D420" s="14" t="s">
        <v>100</v>
      </c>
      <c r="E420" s="14" t="s">
        <v>36</v>
      </c>
      <c r="F420" s="15">
        <v>45383</v>
      </c>
      <c r="G420" s="14" t="s">
        <v>2847</v>
      </c>
      <c r="H420" t="s">
        <v>3523</v>
      </c>
      <c r="I420" s="15"/>
      <c r="J420" s="14"/>
      <c r="K420" s="15"/>
      <c r="M420" s="14"/>
      <c r="N420">
        <v>68</v>
      </c>
    </row>
    <row r="421" spans="1:14" x14ac:dyDescent="0.3">
      <c r="A421">
        <v>420</v>
      </c>
      <c r="B421" s="14" t="s">
        <v>2591</v>
      </c>
      <c r="C421" s="14" t="s">
        <v>370</v>
      </c>
      <c r="D421" s="14" t="s">
        <v>100</v>
      </c>
      <c r="E421" s="14" t="s">
        <v>36</v>
      </c>
      <c r="F421" s="15">
        <v>45371</v>
      </c>
      <c r="G421" s="14" t="s">
        <v>2848</v>
      </c>
      <c r="H421" t="s">
        <v>3523</v>
      </c>
      <c r="I421" s="15"/>
      <c r="J421" s="14"/>
      <c r="K421" s="15"/>
      <c r="M421" s="14"/>
      <c r="N421">
        <v>80</v>
      </c>
    </row>
    <row r="422" spans="1:14" x14ac:dyDescent="0.3">
      <c r="A422">
        <v>421</v>
      </c>
      <c r="B422" s="14" t="s">
        <v>2528</v>
      </c>
      <c r="C422" s="14" t="s">
        <v>323</v>
      </c>
      <c r="D422" s="14" t="s">
        <v>100</v>
      </c>
      <c r="E422" s="14" t="s">
        <v>36</v>
      </c>
      <c r="F422" s="15">
        <v>45356</v>
      </c>
      <c r="G422" s="14" t="s">
        <v>2845</v>
      </c>
      <c r="H422" t="s">
        <v>3523</v>
      </c>
      <c r="I422" s="15"/>
      <c r="J422" s="14"/>
      <c r="K422" s="15"/>
      <c r="M422" s="14"/>
      <c r="N422">
        <v>95</v>
      </c>
    </row>
    <row r="423" spans="1:14" x14ac:dyDescent="0.3">
      <c r="A423">
        <v>422</v>
      </c>
      <c r="B423" s="14" t="s">
        <v>2491</v>
      </c>
      <c r="C423" s="14" t="s">
        <v>299</v>
      </c>
      <c r="D423" s="14" t="s">
        <v>100</v>
      </c>
      <c r="E423" s="14" t="s">
        <v>36</v>
      </c>
      <c r="F423" s="15">
        <v>45345</v>
      </c>
      <c r="G423" s="14" t="s">
        <v>2848</v>
      </c>
      <c r="H423" t="s">
        <v>3523</v>
      </c>
      <c r="I423" s="15"/>
      <c r="J423" s="14"/>
      <c r="K423" s="15"/>
      <c r="M423" s="14"/>
      <c r="N423">
        <v>106</v>
      </c>
    </row>
    <row r="424" spans="1:14" x14ac:dyDescent="0.3">
      <c r="A424">
        <v>423</v>
      </c>
      <c r="B424" s="14" t="s">
        <v>2451</v>
      </c>
      <c r="C424" s="14" t="s">
        <v>2178</v>
      </c>
      <c r="D424" s="14" t="s">
        <v>100</v>
      </c>
      <c r="E424" s="14" t="s">
        <v>36</v>
      </c>
      <c r="F424" s="15">
        <v>45321</v>
      </c>
      <c r="G424" s="14" t="s">
        <v>2847</v>
      </c>
      <c r="H424" t="s">
        <v>3523</v>
      </c>
      <c r="I424" s="15"/>
      <c r="J424" s="14"/>
      <c r="K424" s="15"/>
      <c r="M424" s="14"/>
      <c r="N424">
        <v>130</v>
      </c>
    </row>
    <row r="425" spans="1:14" x14ac:dyDescent="0.3">
      <c r="A425">
        <v>424</v>
      </c>
      <c r="B425" s="14" t="s">
        <v>2448</v>
      </c>
      <c r="C425" s="14" t="s">
        <v>261</v>
      </c>
      <c r="D425" s="14" t="s">
        <v>100</v>
      </c>
      <c r="E425" s="14" t="s">
        <v>36</v>
      </c>
      <c r="F425" s="15">
        <v>45320</v>
      </c>
      <c r="G425" s="14" t="s">
        <v>2847</v>
      </c>
      <c r="H425" t="s">
        <v>3523</v>
      </c>
      <c r="I425" s="15"/>
      <c r="J425" s="14"/>
      <c r="K425" s="15"/>
      <c r="M425" s="14"/>
      <c r="N425">
        <v>131</v>
      </c>
    </row>
    <row r="426" spans="1:14" x14ac:dyDescent="0.3">
      <c r="A426">
        <v>425</v>
      </c>
      <c r="B426" s="14" t="s">
        <v>2436</v>
      </c>
      <c r="C426" s="14" t="s">
        <v>2172</v>
      </c>
      <c r="D426" s="14" t="s">
        <v>100</v>
      </c>
      <c r="E426" s="14" t="s">
        <v>36</v>
      </c>
      <c r="F426" s="15">
        <v>45315</v>
      </c>
      <c r="G426" s="14" t="s">
        <v>2847</v>
      </c>
      <c r="H426" t="s">
        <v>3523</v>
      </c>
      <c r="I426" s="15"/>
      <c r="J426" s="14"/>
      <c r="K426" s="15"/>
      <c r="M426" s="14"/>
      <c r="N426">
        <v>136</v>
      </c>
    </row>
    <row r="427" spans="1:14" x14ac:dyDescent="0.3">
      <c r="A427">
        <v>426</v>
      </c>
      <c r="B427" s="14" t="s">
        <v>2372</v>
      </c>
      <c r="C427" s="14" t="s">
        <v>2135</v>
      </c>
      <c r="D427" s="14" t="s">
        <v>100</v>
      </c>
      <c r="E427" s="14" t="s">
        <v>36</v>
      </c>
      <c r="F427" s="15">
        <v>45295</v>
      </c>
      <c r="G427" s="14" t="s">
        <v>2847</v>
      </c>
      <c r="H427" t="s">
        <v>3523</v>
      </c>
      <c r="I427" s="15"/>
      <c r="J427" s="14"/>
      <c r="K427" s="15"/>
      <c r="M427" s="14"/>
      <c r="N427">
        <v>156</v>
      </c>
    </row>
    <row r="428" spans="1:14" x14ac:dyDescent="0.3">
      <c r="A428">
        <v>427</v>
      </c>
      <c r="B428" s="14" t="s">
        <v>2226</v>
      </c>
      <c r="C428" s="14" t="s">
        <v>130</v>
      </c>
      <c r="D428" s="14" t="s">
        <v>100</v>
      </c>
      <c r="E428" s="14" t="s">
        <v>36</v>
      </c>
      <c r="F428" s="15">
        <v>45261</v>
      </c>
      <c r="G428" s="14" t="s">
        <v>2846</v>
      </c>
      <c r="H428" t="s">
        <v>3523</v>
      </c>
      <c r="I428" s="15"/>
      <c r="J428" s="14"/>
      <c r="K428" s="15"/>
      <c r="M428" s="14"/>
      <c r="N428">
        <v>190</v>
      </c>
    </row>
    <row r="429" spans="1:14" x14ac:dyDescent="0.3">
      <c r="A429">
        <v>428</v>
      </c>
      <c r="B429" s="14" t="s">
        <v>2367</v>
      </c>
      <c r="C429" s="14" t="s">
        <v>225</v>
      </c>
      <c r="D429" s="14" t="s">
        <v>100</v>
      </c>
      <c r="E429" s="14" t="s">
        <v>36</v>
      </c>
      <c r="F429" s="15">
        <v>45294</v>
      </c>
      <c r="G429" s="14" t="s">
        <v>2849</v>
      </c>
      <c r="H429" t="s">
        <v>3501</v>
      </c>
      <c r="I429" s="15">
        <v>45308</v>
      </c>
      <c r="J429" s="14" t="s">
        <v>3521</v>
      </c>
      <c r="K429" s="15"/>
      <c r="M429" s="14" t="s">
        <v>3477</v>
      </c>
      <c r="N429">
        <v>14</v>
      </c>
    </row>
    <row r="430" spans="1:14" x14ac:dyDescent="0.3">
      <c r="A430">
        <v>429</v>
      </c>
      <c r="B430" s="14" t="s">
        <v>2350</v>
      </c>
      <c r="C430" s="14" t="s">
        <v>219</v>
      </c>
      <c r="D430" s="14" t="s">
        <v>100</v>
      </c>
      <c r="E430" s="14" t="s">
        <v>36</v>
      </c>
      <c r="F430" s="15">
        <v>45293</v>
      </c>
      <c r="G430" s="14" t="s">
        <v>2848</v>
      </c>
      <c r="H430" t="s">
        <v>3500</v>
      </c>
      <c r="I430" s="15">
        <v>45310</v>
      </c>
      <c r="J430" s="14" t="s">
        <v>3521</v>
      </c>
      <c r="K430" s="15"/>
      <c r="M430" s="14" t="s">
        <v>3477</v>
      </c>
      <c r="N430">
        <v>17</v>
      </c>
    </row>
    <row r="431" spans="1:14" x14ac:dyDescent="0.3">
      <c r="A431">
        <v>430</v>
      </c>
      <c r="B431" s="14" t="s">
        <v>2507</v>
      </c>
      <c r="C431" s="14" t="s">
        <v>310</v>
      </c>
      <c r="D431" s="14" t="s">
        <v>100</v>
      </c>
      <c r="E431" s="14" t="s">
        <v>36</v>
      </c>
      <c r="F431" s="15">
        <v>45351</v>
      </c>
      <c r="G431" s="14" t="s">
        <v>2846</v>
      </c>
      <c r="H431" t="s">
        <v>3524</v>
      </c>
      <c r="I431" s="15"/>
      <c r="J431" s="14" t="s">
        <v>3521</v>
      </c>
      <c r="K431" s="15"/>
      <c r="M431" s="14"/>
    </row>
    <row r="432" spans="1:14" x14ac:dyDescent="0.3">
      <c r="A432">
        <v>431</v>
      </c>
      <c r="B432" s="14" t="s">
        <v>2663</v>
      </c>
      <c r="C432" s="14" t="s">
        <v>431</v>
      </c>
      <c r="D432" s="14" t="s">
        <v>100</v>
      </c>
      <c r="E432" s="14" t="s">
        <v>36</v>
      </c>
      <c r="F432" s="15">
        <v>45393</v>
      </c>
      <c r="G432" s="14" t="s">
        <v>3539</v>
      </c>
      <c r="H432" t="s">
        <v>3524</v>
      </c>
      <c r="I432" s="15"/>
      <c r="J432" s="14" t="s">
        <v>3521</v>
      </c>
      <c r="K432" s="15"/>
      <c r="M432" s="14"/>
    </row>
    <row r="433" spans="1:14" x14ac:dyDescent="0.3">
      <c r="A433">
        <v>432</v>
      </c>
      <c r="B433" s="14" t="s">
        <v>2694</v>
      </c>
      <c r="C433" s="14" t="s">
        <v>459</v>
      </c>
      <c r="D433" s="14" t="s">
        <v>100</v>
      </c>
      <c r="E433" s="14" t="s">
        <v>36</v>
      </c>
      <c r="F433" s="15">
        <v>45404</v>
      </c>
      <c r="G433" s="14" t="s">
        <v>2847</v>
      </c>
      <c r="H433" t="s">
        <v>3524</v>
      </c>
      <c r="I433" s="15"/>
      <c r="J433" s="14" t="s">
        <v>3521</v>
      </c>
      <c r="K433" s="15"/>
      <c r="M433" s="14"/>
    </row>
    <row r="434" spans="1:14" x14ac:dyDescent="0.3">
      <c r="A434">
        <v>433</v>
      </c>
      <c r="B434" s="14" t="s">
        <v>2710</v>
      </c>
      <c r="C434" s="14" t="s">
        <v>473</v>
      </c>
      <c r="D434" s="14" t="s">
        <v>100</v>
      </c>
      <c r="E434" s="14" t="s">
        <v>36</v>
      </c>
      <c r="F434" s="15">
        <v>45404</v>
      </c>
      <c r="G434" s="14" t="s">
        <v>3539</v>
      </c>
      <c r="H434" t="s">
        <v>3524</v>
      </c>
      <c r="I434" s="15"/>
      <c r="J434" s="14" t="s">
        <v>3521</v>
      </c>
      <c r="K434" s="15"/>
      <c r="M434" s="14"/>
    </row>
    <row r="435" spans="1:14" x14ac:dyDescent="0.3">
      <c r="A435">
        <v>434</v>
      </c>
      <c r="B435" s="14" t="s">
        <v>2678</v>
      </c>
      <c r="C435" s="14" t="s">
        <v>445</v>
      </c>
      <c r="D435" s="14" t="s">
        <v>100</v>
      </c>
      <c r="E435" s="14" t="s">
        <v>36</v>
      </c>
      <c r="F435" s="15">
        <v>45400</v>
      </c>
      <c r="G435" s="14" t="s">
        <v>2847</v>
      </c>
      <c r="H435" t="s">
        <v>3524</v>
      </c>
      <c r="I435" s="15"/>
      <c r="J435" s="14" t="s">
        <v>3521</v>
      </c>
      <c r="K435" s="15"/>
      <c r="M435" s="14"/>
    </row>
    <row r="436" spans="1:14" x14ac:dyDescent="0.3">
      <c r="A436">
        <v>435</v>
      </c>
      <c r="B436" s="14" t="s">
        <v>2680</v>
      </c>
      <c r="C436" s="14" t="s">
        <v>447</v>
      </c>
      <c r="D436" s="14" t="s">
        <v>100</v>
      </c>
      <c r="E436" s="14" t="s">
        <v>36</v>
      </c>
      <c r="F436" s="15">
        <v>45400</v>
      </c>
      <c r="G436" s="14" t="s">
        <v>2847</v>
      </c>
      <c r="H436" t="s">
        <v>3524</v>
      </c>
      <c r="I436" s="15"/>
      <c r="J436" s="14" t="s">
        <v>3521</v>
      </c>
      <c r="K436" s="15"/>
      <c r="M436" s="14"/>
    </row>
    <row r="437" spans="1:14" x14ac:dyDescent="0.3">
      <c r="A437">
        <v>436</v>
      </c>
      <c r="B437" s="14" t="s">
        <v>2745</v>
      </c>
      <c r="C437" s="14" t="s">
        <v>419</v>
      </c>
      <c r="D437" s="14" t="s">
        <v>100</v>
      </c>
      <c r="E437" s="14" t="s">
        <v>36</v>
      </c>
      <c r="F437" s="15">
        <v>45406</v>
      </c>
      <c r="G437" s="14" t="s">
        <v>2847</v>
      </c>
      <c r="H437" t="s">
        <v>3524</v>
      </c>
      <c r="I437" s="15"/>
      <c r="J437" s="14" t="s">
        <v>3521</v>
      </c>
      <c r="K437" s="15"/>
      <c r="M437" s="14"/>
    </row>
    <row r="438" spans="1:14" x14ac:dyDescent="0.3">
      <c r="A438">
        <v>437</v>
      </c>
      <c r="B438" s="14" t="s">
        <v>2684</v>
      </c>
      <c r="C438" s="14" t="s">
        <v>450</v>
      </c>
      <c r="D438" s="14" t="s">
        <v>100</v>
      </c>
      <c r="E438" s="14" t="s">
        <v>36</v>
      </c>
      <c r="F438" s="15">
        <v>45400</v>
      </c>
      <c r="G438" s="14" t="s">
        <v>2847</v>
      </c>
      <c r="H438" t="s">
        <v>3524</v>
      </c>
      <c r="I438" s="15"/>
      <c r="J438" s="14" t="s">
        <v>3521</v>
      </c>
      <c r="K438" s="15"/>
      <c r="M438" s="14"/>
    </row>
    <row r="439" spans="1:14" x14ac:dyDescent="0.3">
      <c r="A439">
        <v>438</v>
      </c>
      <c r="B439" s="14" t="s">
        <v>2670</v>
      </c>
      <c r="C439" s="14" t="s">
        <v>438</v>
      </c>
      <c r="D439" s="14" t="s">
        <v>100</v>
      </c>
      <c r="E439" s="14" t="s">
        <v>36</v>
      </c>
      <c r="F439" s="15">
        <v>45389</v>
      </c>
      <c r="G439" s="14" t="s">
        <v>2848</v>
      </c>
      <c r="H439" t="s">
        <v>3524</v>
      </c>
      <c r="I439" s="15"/>
      <c r="J439" s="14" t="s">
        <v>3521</v>
      </c>
      <c r="K439" s="15"/>
      <c r="M439" s="14"/>
    </row>
    <row r="440" spans="1:14" x14ac:dyDescent="0.3">
      <c r="A440">
        <v>439</v>
      </c>
      <c r="B440" s="14" t="s">
        <v>2621</v>
      </c>
      <c r="C440" s="14" t="s">
        <v>392</v>
      </c>
      <c r="D440" s="14" t="s">
        <v>100</v>
      </c>
      <c r="E440" s="14" t="s">
        <v>36</v>
      </c>
      <c r="F440" s="15">
        <v>45383</v>
      </c>
      <c r="G440" s="14" t="s">
        <v>2848</v>
      </c>
      <c r="H440" t="s">
        <v>3524</v>
      </c>
      <c r="I440" s="15"/>
      <c r="J440" s="14" t="s">
        <v>3521</v>
      </c>
      <c r="K440" s="15"/>
      <c r="M440" s="14"/>
    </row>
    <row r="441" spans="1:14" x14ac:dyDescent="0.3">
      <c r="A441">
        <v>440</v>
      </c>
      <c r="B441" s="14" t="s">
        <v>2654</v>
      </c>
      <c r="C441" s="14" t="s">
        <v>422</v>
      </c>
      <c r="D441" s="14" t="s">
        <v>100</v>
      </c>
      <c r="E441" s="14" t="s">
        <v>36</v>
      </c>
      <c r="F441" s="15">
        <v>45396</v>
      </c>
      <c r="G441" s="14" t="s">
        <v>2847</v>
      </c>
      <c r="H441" t="s">
        <v>3524</v>
      </c>
      <c r="I441" s="15"/>
      <c r="J441" s="14" t="s">
        <v>3521</v>
      </c>
      <c r="K441" s="15"/>
      <c r="M441" s="14"/>
    </row>
    <row r="442" spans="1:14" x14ac:dyDescent="0.3">
      <c r="A442">
        <v>441</v>
      </c>
      <c r="B442" s="14" t="s">
        <v>2798</v>
      </c>
      <c r="C442" s="14" t="s">
        <v>2220</v>
      </c>
      <c r="D442" s="14" t="s">
        <v>100</v>
      </c>
      <c r="E442" s="14" t="s">
        <v>36</v>
      </c>
      <c r="F442" s="15">
        <v>45412</v>
      </c>
      <c r="G442" s="14" t="s">
        <v>2848</v>
      </c>
      <c r="H442" t="s">
        <v>3524</v>
      </c>
      <c r="I442" s="15"/>
      <c r="J442" s="14" t="s">
        <v>3521</v>
      </c>
      <c r="K442" s="15"/>
      <c r="M442" s="14"/>
    </row>
    <row r="443" spans="1:14" x14ac:dyDescent="0.3">
      <c r="A443">
        <v>442</v>
      </c>
      <c r="B443" s="14" t="s">
        <v>2641</v>
      </c>
      <c r="C443" s="14" t="s">
        <v>410</v>
      </c>
      <c r="D443" s="14" t="s">
        <v>100</v>
      </c>
      <c r="E443" s="14" t="s">
        <v>36</v>
      </c>
      <c r="F443" s="15">
        <v>45387</v>
      </c>
      <c r="G443" s="14" t="s">
        <v>2847</v>
      </c>
      <c r="H443" t="s">
        <v>3524</v>
      </c>
      <c r="I443" s="15"/>
      <c r="J443" s="14" t="s">
        <v>3521</v>
      </c>
      <c r="K443" s="15"/>
      <c r="M443" s="14"/>
    </row>
    <row r="444" spans="1:14" x14ac:dyDescent="0.3">
      <c r="A444">
        <v>443</v>
      </c>
      <c r="B444" s="14" t="s">
        <v>2608</v>
      </c>
      <c r="C444" s="14" t="s">
        <v>381</v>
      </c>
      <c r="D444" s="14" t="s">
        <v>100</v>
      </c>
      <c r="E444" s="14" t="s">
        <v>36</v>
      </c>
      <c r="F444" s="15">
        <v>45379</v>
      </c>
      <c r="G444" s="14" t="s">
        <v>3539</v>
      </c>
      <c r="H444" t="s">
        <v>3524</v>
      </c>
      <c r="I444" s="15"/>
      <c r="J444" s="14" t="s">
        <v>3521</v>
      </c>
      <c r="K444" s="15"/>
      <c r="M444" s="14"/>
    </row>
    <row r="445" spans="1:14" x14ac:dyDescent="0.3">
      <c r="A445">
        <v>444</v>
      </c>
      <c r="B445" s="14" t="s">
        <v>2765</v>
      </c>
      <c r="C445" s="14" t="s">
        <v>523</v>
      </c>
      <c r="D445" s="14" t="s">
        <v>100</v>
      </c>
      <c r="E445" s="14" t="s">
        <v>36</v>
      </c>
      <c r="F445" s="15">
        <v>45407</v>
      </c>
      <c r="G445" s="14" t="s">
        <v>2847</v>
      </c>
      <c r="H445" t="s">
        <v>3524</v>
      </c>
      <c r="I445" s="15"/>
      <c r="J445" s="14" t="s">
        <v>3521</v>
      </c>
      <c r="K445" s="15"/>
      <c r="M445" s="14"/>
    </row>
    <row r="446" spans="1:14" x14ac:dyDescent="0.3">
      <c r="A446">
        <v>445</v>
      </c>
      <c r="B446" s="14" t="s">
        <v>2774</v>
      </c>
      <c r="C446" s="14" t="s">
        <v>529</v>
      </c>
      <c r="D446" s="14" t="s">
        <v>100</v>
      </c>
      <c r="E446" s="14" t="s">
        <v>36</v>
      </c>
      <c r="F446" s="15">
        <v>45408</v>
      </c>
      <c r="G446" s="14" t="s">
        <v>2847</v>
      </c>
      <c r="H446" t="s">
        <v>3524</v>
      </c>
      <c r="I446" s="15"/>
      <c r="J446" s="14" t="s">
        <v>3521</v>
      </c>
      <c r="K446" s="15"/>
      <c r="M446" s="14"/>
    </row>
    <row r="447" spans="1:14" x14ac:dyDescent="0.3">
      <c r="A447">
        <v>446</v>
      </c>
      <c r="B447" s="14" t="s">
        <v>2655</v>
      </c>
      <c r="C447" s="14" t="s">
        <v>423</v>
      </c>
      <c r="D447" s="14" t="s">
        <v>100</v>
      </c>
      <c r="E447" s="14" t="s">
        <v>36</v>
      </c>
      <c r="F447" s="15">
        <v>45398</v>
      </c>
      <c r="G447" s="14" t="s">
        <v>2847</v>
      </c>
      <c r="H447" t="s">
        <v>3524</v>
      </c>
      <c r="I447" s="15"/>
      <c r="J447" s="14" t="s">
        <v>3521</v>
      </c>
      <c r="K447" s="15"/>
      <c r="M447" s="14"/>
    </row>
    <row r="448" spans="1:14" x14ac:dyDescent="0.3">
      <c r="A448">
        <v>447</v>
      </c>
      <c r="B448" s="14" t="s">
        <v>2609</v>
      </c>
      <c r="C448" s="14" t="s">
        <v>382</v>
      </c>
      <c r="D448" s="14" t="s">
        <v>105</v>
      </c>
      <c r="E448" s="14" t="s">
        <v>44</v>
      </c>
      <c r="F448" s="15">
        <v>45379</v>
      </c>
      <c r="G448" s="14" t="s">
        <v>3539</v>
      </c>
      <c r="H448" t="s">
        <v>3500</v>
      </c>
      <c r="I448" s="15">
        <v>45385</v>
      </c>
      <c r="J448" s="14"/>
      <c r="K448" s="15"/>
      <c r="M448" s="14"/>
      <c r="N448">
        <v>72</v>
      </c>
    </row>
    <row r="449" spans="1:14" x14ac:dyDescent="0.3">
      <c r="A449">
        <v>448</v>
      </c>
      <c r="B449" s="14" t="s">
        <v>2583</v>
      </c>
      <c r="C449" s="14" t="s">
        <v>365</v>
      </c>
      <c r="D449" s="14" t="s">
        <v>105</v>
      </c>
      <c r="E449" s="14" t="s">
        <v>44</v>
      </c>
      <c r="F449" s="15">
        <v>45369</v>
      </c>
      <c r="G449" s="14" t="s">
        <v>3539</v>
      </c>
      <c r="H449" t="s">
        <v>3500</v>
      </c>
      <c r="I449" s="15">
        <v>45378</v>
      </c>
      <c r="J449" s="14"/>
      <c r="K449" s="15"/>
      <c r="M449" s="14"/>
      <c r="N449">
        <v>82</v>
      </c>
    </row>
    <row r="450" spans="1:14" x14ac:dyDescent="0.3">
      <c r="A450">
        <v>449</v>
      </c>
      <c r="B450" s="14" t="s">
        <v>2576</v>
      </c>
      <c r="C450" s="14" t="s">
        <v>359</v>
      </c>
      <c r="D450" s="14" t="s">
        <v>105</v>
      </c>
      <c r="E450" s="14" t="s">
        <v>44</v>
      </c>
      <c r="F450" s="15">
        <v>45368</v>
      </c>
      <c r="G450" s="14" t="s">
        <v>3539</v>
      </c>
      <c r="H450" t="s">
        <v>3500</v>
      </c>
      <c r="I450" s="15">
        <v>45378</v>
      </c>
      <c r="J450" s="14"/>
      <c r="K450" s="15"/>
      <c r="M450" s="14"/>
      <c r="N450">
        <v>83</v>
      </c>
    </row>
    <row r="451" spans="1:14" x14ac:dyDescent="0.3">
      <c r="A451">
        <v>450</v>
      </c>
      <c r="B451" s="14" t="s">
        <v>2546</v>
      </c>
      <c r="C451" s="14" t="s">
        <v>337</v>
      </c>
      <c r="D451" s="14" t="s">
        <v>105</v>
      </c>
      <c r="E451" s="14" t="s">
        <v>44</v>
      </c>
      <c r="F451" s="15">
        <v>45363</v>
      </c>
      <c r="G451" s="14" t="s">
        <v>3539</v>
      </c>
      <c r="H451" t="s">
        <v>3500</v>
      </c>
      <c r="I451" s="15">
        <v>45369</v>
      </c>
      <c r="J451" s="14"/>
      <c r="K451" s="15"/>
      <c r="M451" s="14"/>
      <c r="N451">
        <v>88</v>
      </c>
    </row>
    <row r="452" spans="1:14" x14ac:dyDescent="0.3">
      <c r="A452">
        <v>451</v>
      </c>
      <c r="B452" s="14" t="s">
        <v>2807</v>
      </c>
      <c r="C452" s="14" t="s">
        <v>560</v>
      </c>
      <c r="D452" s="14" t="s">
        <v>105</v>
      </c>
      <c r="E452" s="14" t="s">
        <v>44</v>
      </c>
      <c r="F452" s="15">
        <v>45415</v>
      </c>
      <c r="G452" s="14" t="s">
        <v>2847</v>
      </c>
      <c r="H452" t="s">
        <v>3524</v>
      </c>
      <c r="I452" s="15"/>
      <c r="J452" s="14"/>
      <c r="K452" s="15"/>
      <c r="M452" s="14"/>
      <c r="N452">
        <v>36</v>
      </c>
    </row>
    <row r="453" spans="1:14" x14ac:dyDescent="0.3">
      <c r="A453">
        <v>452</v>
      </c>
      <c r="B453" s="14" t="s">
        <v>2808</v>
      </c>
      <c r="C453" s="14" t="s">
        <v>561</v>
      </c>
      <c r="D453" s="14" t="s">
        <v>105</v>
      </c>
      <c r="E453" s="14" t="s">
        <v>44</v>
      </c>
      <c r="F453" s="15">
        <v>45415</v>
      </c>
      <c r="G453" s="14" t="s">
        <v>2847</v>
      </c>
      <c r="H453" t="s">
        <v>3524</v>
      </c>
      <c r="I453" s="15"/>
      <c r="J453" s="14"/>
      <c r="K453" s="15"/>
      <c r="M453" s="14"/>
      <c r="N453">
        <v>36</v>
      </c>
    </row>
    <row r="454" spans="1:14" x14ac:dyDescent="0.3">
      <c r="A454">
        <v>453</v>
      </c>
      <c r="B454" s="14" t="s">
        <v>2701</v>
      </c>
      <c r="C454" s="14" t="s">
        <v>464</v>
      </c>
      <c r="D454" s="14" t="s">
        <v>105</v>
      </c>
      <c r="E454" s="14" t="s">
        <v>44</v>
      </c>
      <c r="F454" s="15">
        <v>45400</v>
      </c>
      <c r="G454" s="14" t="s">
        <v>3539</v>
      </c>
      <c r="H454" t="s">
        <v>3524</v>
      </c>
      <c r="I454" s="15"/>
      <c r="J454" s="14"/>
      <c r="K454" s="15"/>
      <c r="M454" s="14"/>
      <c r="N454">
        <v>51</v>
      </c>
    </row>
    <row r="455" spans="1:14" x14ac:dyDescent="0.3">
      <c r="A455">
        <v>454</v>
      </c>
      <c r="B455" s="14" t="s">
        <v>2660</v>
      </c>
      <c r="C455" s="14" t="s">
        <v>428</v>
      </c>
      <c r="D455" s="14" t="s">
        <v>105</v>
      </c>
      <c r="E455" s="14" t="s">
        <v>44</v>
      </c>
      <c r="F455" s="15">
        <v>45399</v>
      </c>
      <c r="G455" s="14" t="s">
        <v>2847</v>
      </c>
      <c r="H455" t="s">
        <v>3524</v>
      </c>
      <c r="I455" s="15"/>
      <c r="J455" s="14"/>
      <c r="K455" s="15"/>
      <c r="M455" s="14"/>
      <c r="N455">
        <v>52</v>
      </c>
    </row>
    <row r="456" spans="1:14" x14ac:dyDescent="0.3">
      <c r="A456">
        <v>455</v>
      </c>
      <c r="B456" s="14" t="s">
        <v>2802</v>
      </c>
      <c r="C456" s="14" t="s">
        <v>555</v>
      </c>
      <c r="D456" s="14" t="s">
        <v>105</v>
      </c>
      <c r="E456" s="14" t="s">
        <v>44</v>
      </c>
      <c r="F456" s="15">
        <v>45412</v>
      </c>
      <c r="G456" s="14" t="s">
        <v>2847</v>
      </c>
      <c r="H456" t="s">
        <v>3523</v>
      </c>
      <c r="I456" s="15"/>
      <c r="J456" s="14"/>
      <c r="K456" s="15"/>
      <c r="M456" s="14"/>
      <c r="N456">
        <v>39</v>
      </c>
    </row>
    <row r="457" spans="1:14" x14ac:dyDescent="0.3">
      <c r="A457">
        <v>456</v>
      </c>
      <c r="B457" s="14" t="s">
        <v>2687</v>
      </c>
      <c r="C457" s="14" t="s">
        <v>452</v>
      </c>
      <c r="D457" s="14" t="s">
        <v>105</v>
      </c>
      <c r="E457" s="14" t="s">
        <v>44</v>
      </c>
      <c r="F457" s="15">
        <v>45400</v>
      </c>
      <c r="G457" s="14" t="s">
        <v>2847</v>
      </c>
      <c r="H457" t="s">
        <v>3523</v>
      </c>
      <c r="I457" s="15"/>
      <c r="J457" s="14"/>
      <c r="K457" s="15"/>
      <c r="M457" s="14"/>
      <c r="N457">
        <v>51</v>
      </c>
    </row>
    <row r="458" spans="1:14" x14ac:dyDescent="0.3">
      <c r="A458">
        <v>457</v>
      </c>
      <c r="B458" s="14" t="s">
        <v>2675</v>
      </c>
      <c r="C458" s="14" t="s">
        <v>366</v>
      </c>
      <c r="D458" s="14" t="s">
        <v>105</v>
      </c>
      <c r="E458" s="14" t="s">
        <v>44</v>
      </c>
      <c r="F458" s="15">
        <v>45399</v>
      </c>
      <c r="G458" s="14" t="s">
        <v>2847</v>
      </c>
      <c r="H458" t="s">
        <v>3523</v>
      </c>
      <c r="I458" s="15"/>
      <c r="J458" s="14"/>
      <c r="K458" s="15"/>
      <c r="M458" s="14"/>
      <c r="N458">
        <v>52</v>
      </c>
    </row>
    <row r="459" spans="1:14" x14ac:dyDescent="0.3">
      <c r="A459">
        <v>458</v>
      </c>
      <c r="B459" s="14" t="s">
        <v>2649</v>
      </c>
      <c r="C459" s="14" t="s">
        <v>417</v>
      </c>
      <c r="D459" s="14" t="s">
        <v>105</v>
      </c>
      <c r="E459" s="14" t="s">
        <v>44</v>
      </c>
      <c r="F459" s="15">
        <v>45393</v>
      </c>
      <c r="G459" s="14" t="s">
        <v>2847</v>
      </c>
      <c r="H459" t="s">
        <v>3523</v>
      </c>
      <c r="I459" s="15"/>
      <c r="J459" s="14"/>
      <c r="K459" s="15"/>
      <c r="M459" s="14"/>
      <c r="N459">
        <v>58</v>
      </c>
    </row>
    <row r="460" spans="1:14" x14ac:dyDescent="0.3">
      <c r="A460">
        <v>459</v>
      </c>
      <c r="B460" s="14" t="s">
        <v>2587</v>
      </c>
      <c r="C460" s="14" t="s">
        <v>368</v>
      </c>
      <c r="D460" s="14" t="s">
        <v>105</v>
      </c>
      <c r="E460" s="14" t="s">
        <v>44</v>
      </c>
      <c r="F460" s="15">
        <v>45370</v>
      </c>
      <c r="G460" s="14" t="s">
        <v>3539</v>
      </c>
      <c r="H460" t="s">
        <v>3523</v>
      </c>
      <c r="I460" s="15"/>
      <c r="J460" s="14"/>
      <c r="K460" s="15"/>
      <c r="M460" s="14"/>
      <c r="N460">
        <v>81</v>
      </c>
    </row>
    <row r="461" spans="1:14" x14ac:dyDescent="0.3">
      <c r="A461">
        <v>460</v>
      </c>
      <c r="B461" s="14" t="s">
        <v>2584</v>
      </c>
      <c r="C461" s="14" t="s">
        <v>366</v>
      </c>
      <c r="D461" s="14" t="s">
        <v>105</v>
      </c>
      <c r="E461" s="14" t="s">
        <v>44</v>
      </c>
      <c r="F461" s="15">
        <v>45369</v>
      </c>
      <c r="G461" s="14" t="s">
        <v>3539</v>
      </c>
      <c r="H461" t="s">
        <v>3523</v>
      </c>
      <c r="I461" s="15"/>
      <c r="J461" s="14"/>
      <c r="K461" s="15"/>
      <c r="M461" s="14"/>
      <c r="N461">
        <v>82</v>
      </c>
    </row>
    <row r="462" spans="1:14" x14ac:dyDescent="0.3">
      <c r="A462">
        <v>461</v>
      </c>
      <c r="B462" s="14" t="s">
        <v>2561</v>
      </c>
      <c r="C462" s="14" t="s">
        <v>346</v>
      </c>
      <c r="D462" s="14" t="s">
        <v>105</v>
      </c>
      <c r="E462" s="14" t="s">
        <v>44</v>
      </c>
      <c r="F462" s="15">
        <v>45365</v>
      </c>
      <c r="G462" s="14" t="s">
        <v>3539</v>
      </c>
      <c r="H462" t="s">
        <v>3523</v>
      </c>
      <c r="I462" s="15"/>
      <c r="J462" s="14"/>
      <c r="K462" s="15"/>
      <c r="M462" s="14"/>
      <c r="N462">
        <v>86</v>
      </c>
    </row>
    <row r="463" spans="1:14" x14ac:dyDescent="0.3">
      <c r="A463">
        <v>462</v>
      </c>
      <c r="B463" s="14" t="s">
        <v>2559</v>
      </c>
      <c r="C463" s="14" t="s">
        <v>345</v>
      </c>
      <c r="D463" s="14" t="s">
        <v>105</v>
      </c>
      <c r="E463" s="14" t="s">
        <v>44</v>
      </c>
      <c r="F463" s="15">
        <v>45365</v>
      </c>
      <c r="G463" s="14" t="s">
        <v>3539</v>
      </c>
      <c r="H463" t="s">
        <v>3523</v>
      </c>
      <c r="I463" s="15"/>
      <c r="J463" s="14"/>
      <c r="K463" s="15"/>
      <c r="M463" s="14"/>
      <c r="N463">
        <v>86</v>
      </c>
    </row>
    <row r="464" spans="1:14" x14ac:dyDescent="0.3">
      <c r="A464">
        <v>463</v>
      </c>
      <c r="B464" s="14" t="s">
        <v>2557</v>
      </c>
      <c r="C464" s="14" t="s">
        <v>2199</v>
      </c>
      <c r="D464" s="14" t="s">
        <v>105</v>
      </c>
      <c r="E464" s="14" t="s">
        <v>44</v>
      </c>
      <c r="F464" s="15">
        <v>45365</v>
      </c>
      <c r="G464" s="14" t="s">
        <v>3539</v>
      </c>
      <c r="H464" t="s">
        <v>3523</v>
      </c>
      <c r="I464" s="15"/>
      <c r="J464" s="14"/>
      <c r="K464" s="15"/>
      <c r="M464" s="14"/>
      <c r="N464">
        <v>86</v>
      </c>
    </row>
    <row r="465" spans="1:14" x14ac:dyDescent="0.3">
      <c r="A465">
        <v>464</v>
      </c>
      <c r="B465" s="14" t="s">
        <v>2551</v>
      </c>
      <c r="C465" s="14" t="s">
        <v>2196</v>
      </c>
      <c r="D465" s="14" t="s">
        <v>105</v>
      </c>
      <c r="E465" s="14" t="s">
        <v>44</v>
      </c>
      <c r="F465" s="15">
        <v>45364</v>
      </c>
      <c r="G465" s="14" t="s">
        <v>3539</v>
      </c>
      <c r="H465" t="s">
        <v>3523</v>
      </c>
      <c r="I465" s="15"/>
      <c r="J465" s="14"/>
      <c r="K465" s="15"/>
      <c r="M465" s="14"/>
      <c r="N465">
        <v>87</v>
      </c>
    </row>
    <row r="466" spans="1:14" x14ac:dyDescent="0.3">
      <c r="A466">
        <v>465</v>
      </c>
      <c r="B466" s="14" t="s">
        <v>2371</v>
      </c>
      <c r="C466" s="14" t="s">
        <v>227</v>
      </c>
      <c r="D466" s="14" t="s">
        <v>105</v>
      </c>
      <c r="E466" s="14" t="s">
        <v>44</v>
      </c>
      <c r="F466" s="15">
        <v>45295</v>
      </c>
      <c r="G466" s="14" t="s">
        <v>2847</v>
      </c>
      <c r="H466" t="s">
        <v>3523</v>
      </c>
      <c r="I466" s="15"/>
      <c r="J466" s="14"/>
      <c r="K466" s="15"/>
      <c r="M466" s="14"/>
      <c r="N466">
        <v>156</v>
      </c>
    </row>
    <row r="467" spans="1:14" x14ac:dyDescent="0.3">
      <c r="A467">
        <v>466</v>
      </c>
      <c r="B467" s="14" t="s">
        <v>2364</v>
      </c>
      <c r="C467" s="14" t="s">
        <v>2130</v>
      </c>
      <c r="D467" s="14" t="s">
        <v>105</v>
      </c>
      <c r="E467" s="14" t="s">
        <v>44</v>
      </c>
      <c r="F467" s="15">
        <v>45294</v>
      </c>
      <c r="G467" s="14" t="s">
        <v>2847</v>
      </c>
      <c r="H467" t="s">
        <v>3523</v>
      </c>
      <c r="I467" s="15"/>
      <c r="J467" s="14"/>
      <c r="K467" s="15"/>
      <c r="M467" s="14"/>
      <c r="N467">
        <v>157</v>
      </c>
    </row>
    <row r="468" spans="1:14" x14ac:dyDescent="0.3">
      <c r="A468">
        <v>467</v>
      </c>
      <c r="B468" s="14" t="s">
        <v>2366</v>
      </c>
      <c r="C468" s="14" t="s">
        <v>2132</v>
      </c>
      <c r="D468" s="14" t="s">
        <v>105</v>
      </c>
      <c r="E468" s="14" t="s">
        <v>44</v>
      </c>
      <c r="F468" s="15">
        <v>45294</v>
      </c>
      <c r="G468" s="14" t="s">
        <v>2847</v>
      </c>
      <c r="H468" t="s">
        <v>3523</v>
      </c>
      <c r="I468" s="15"/>
      <c r="J468" s="14"/>
      <c r="K468" s="15"/>
      <c r="M468" s="14"/>
      <c r="N468">
        <v>157</v>
      </c>
    </row>
    <row r="469" spans="1:14" x14ac:dyDescent="0.3">
      <c r="A469">
        <v>468</v>
      </c>
      <c r="B469" s="14" t="s">
        <v>2594</v>
      </c>
      <c r="C469" s="14" t="s">
        <v>372</v>
      </c>
      <c r="D469" s="14" t="s">
        <v>105</v>
      </c>
      <c r="E469" s="14" t="s">
        <v>44</v>
      </c>
      <c r="F469" s="15">
        <v>45374</v>
      </c>
      <c r="G469" s="14" t="s">
        <v>3539</v>
      </c>
      <c r="H469" t="s">
        <v>3501</v>
      </c>
      <c r="I469" s="15">
        <v>45411</v>
      </c>
      <c r="J469" s="14" t="s">
        <v>3521</v>
      </c>
      <c r="K469" s="15"/>
      <c r="M469" s="14" t="s">
        <v>3477</v>
      </c>
      <c r="N469">
        <v>37</v>
      </c>
    </row>
    <row r="470" spans="1:14" x14ac:dyDescent="0.3">
      <c r="A470">
        <v>469</v>
      </c>
      <c r="B470" s="14" t="s">
        <v>2619</v>
      </c>
      <c r="C470" s="14" t="s">
        <v>2214</v>
      </c>
      <c r="D470" s="14" t="s">
        <v>105</v>
      </c>
      <c r="E470" s="14" t="s">
        <v>44</v>
      </c>
      <c r="F470" s="15">
        <v>45383</v>
      </c>
      <c r="G470" s="14" t="s">
        <v>2847</v>
      </c>
      <c r="H470" t="s">
        <v>3500</v>
      </c>
      <c r="I470" s="15">
        <v>45383</v>
      </c>
      <c r="J470" s="14" t="s">
        <v>3521</v>
      </c>
      <c r="K470" s="15"/>
      <c r="M470" s="14" t="s">
        <v>3477</v>
      </c>
      <c r="N470">
        <v>0</v>
      </c>
    </row>
    <row r="471" spans="1:14" x14ac:dyDescent="0.3">
      <c r="A471">
        <v>470</v>
      </c>
      <c r="B471" s="14" t="s">
        <v>2570</v>
      </c>
      <c r="C471" s="14" t="s">
        <v>355</v>
      </c>
      <c r="D471" s="14" t="s">
        <v>105</v>
      </c>
      <c r="E471" s="14" t="s">
        <v>44</v>
      </c>
      <c r="F471" s="15">
        <v>45367</v>
      </c>
      <c r="G471" s="14" t="s">
        <v>3539</v>
      </c>
      <c r="H471" t="s">
        <v>3500</v>
      </c>
      <c r="I471" s="15">
        <v>45378</v>
      </c>
      <c r="J471" s="14" t="s">
        <v>3521</v>
      </c>
      <c r="K471" s="15"/>
      <c r="M471" s="14" t="s">
        <v>3477</v>
      </c>
      <c r="N471">
        <v>11</v>
      </c>
    </row>
    <row r="472" spans="1:14" x14ac:dyDescent="0.3">
      <c r="A472">
        <v>471</v>
      </c>
      <c r="B472" s="14" t="s">
        <v>2633</v>
      </c>
      <c r="C472" s="14" t="s">
        <v>403</v>
      </c>
      <c r="D472" s="14" t="s">
        <v>105</v>
      </c>
      <c r="E472" s="14" t="s">
        <v>44</v>
      </c>
      <c r="F472" s="15">
        <v>45386</v>
      </c>
      <c r="G472" s="14" t="s">
        <v>2847</v>
      </c>
      <c r="H472" t="s">
        <v>3524</v>
      </c>
      <c r="I472" s="15"/>
      <c r="J472" s="14" t="s">
        <v>3521</v>
      </c>
      <c r="K472" s="15"/>
      <c r="M472" s="14"/>
    </row>
    <row r="473" spans="1:14" x14ac:dyDescent="0.3">
      <c r="A473">
        <v>472</v>
      </c>
      <c r="B473" s="14" t="s">
        <v>2639</v>
      </c>
      <c r="C473" s="14" t="s">
        <v>408</v>
      </c>
      <c r="D473" s="14" t="s">
        <v>105</v>
      </c>
      <c r="E473" s="14" t="s">
        <v>44</v>
      </c>
      <c r="F473" s="15">
        <v>45387</v>
      </c>
      <c r="G473" s="14" t="s">
        <v>2847</v>
      </c>
      <c r="H473" t="s">
        <v>3524</v>
      </c>
      <c r="I473" s="15"/>
      <c r="J473" s="14" t="s">
        <v>3521</v>
      </c>
      <c r="K473" s="15"/>
      <c r="M473" s="14"/>
    </row>
    <row r="474" spans="1:14" x14ac:dyDescent="0.3">
      <c r="A474">
        <v>473</v>
      </c>
      <c r="B474" s="14" t="s">
        <v>2568</v>
      </c>
      <c r="C474" s="14" t="s">
        <v>353</v>
      </c>
      <c r="D474" s="14" t="s">
        <v>105</v>
      </c>
      <c r="E474" s="14" t="s">
        <v>44</v>
      </c>
      <c r="F474" s="15">
        <v>45366</v>
      </c>
      <c r="G474" s="14" t="s">
        <v>3539</v>
      </c>
      <c r="H474" t="s">
        <v>3524</v>
      </c>
      <c r="I474" s="15"/>
      <c r="J474" s="14" t="s">
        <v>3521</v>
      </c>
      <c r="K474" s="15"/>
      <c r="M474" s="14"/>
    </row>
    <row r="475" spans="1:14" x14ac:dyDescent="0.3">
      <c r="A475">
        <v>474</v>
      </c>
      <c r="B475" s="14" t="s">
        <v>2631</v>
      </c>
      <c r="C475" s="14" t="s">
        <v>401</v>
      </c>
      <c r="D475" s="14" t="s">
        <v>105</v>
      </c>
      <c r="E475" s="14" t="s">
        <v>44</v>
      </c>
      <c r="F475" s="15">
        <v>45386</v>
      </c>
      <c r="G475" s="14" t="s">
        <v>2847</v>
      </c>
      <c r="H475" t="s">
        <v>3524</v>
      </c>
      <c r="I475" s="15"/>
      <c r="J475" s="14" t="s">
        <v>3521</v>
      </c>
      <c r="K475" s="15"/>
      <c r="M475" s="14"/>
    </row>
    <row r="476" spans="1:14" x14ac:dyDescent="0.3">
      <c r="A476">
        <v>475</v>
      </c>
      <c r="B476" s="14" t="s">
        <v>2571</v>
      </c>
      <c r="C476" s="14" t="s">
        <v>356</v>
      </c>
      <c r="D476" s="14" t="s">
        <v>105</v>
      </c>
      <c r="E476" s="14" t="s">
        <v>44</v>
      </c>
      <c r="F476" s="15">
        <v>45367</v>
      </c>
      <c r="G476" s="14" t="s">
        <v>3539</v>
      </c>
      <c r="H476" t="s">
        <v>3524</v>
      </c>
      <c r="I476" s="15"/>
      <c r="J476" s="14" t="s">
        <v>3521</v>
      </c>
      <c r="K476" s="15"/>
      <c r="M476" s="14"/>
    </row>
    <row r="477" spans="1:14" x14ac:dyDescent="0.3">
      <c r="A477">
        <v>476</v>
      </c>
      <c r="B477" s="14" t="s">
        <v>2542</v>
      </c>
      <c r="C477" s="14" t="s">
        <v>335</v>
      </c>
      <c r="D477" s="14" t="s">
        <v>105</v>
      </c>
      <c r="E477" s="14" t="s">
        <v>44</v>
      </c>
      <c r="F477" s="15">
        <v>45363</v>
      </c>
      <c r="G477" s="14" t="s">
        <v>3539</v>
      </c>
      <c r="H477" t="s">
        <v>3524</v>
      </c>
      <c r="I477" s="15"/>
      <c r="J477" s="14" t="s">
        <v>3521</v>
      </c>
      <c r="K477" s="15"/>
      <c r="M477" s="14"/>
    </row>
    <row r="478" spans="1:14" x14ac:dyDescent="0.3">
      <c r="A478">
        <v>477</v>
      </c>
      <c r="B478" s="14" t="s">
        <v>2787</v>
      </c>
      <c r="C478" s="14" t="s">
        <v>542</v>
      </c>
      <c r="D478" s="14" t="s">
        <v>105</v>
      </c>
      <c r="E478" s="14" t="s">
        <v>44</v>
      </c>
      <c r="F478" s="15">
        <v>45411</v>
      </c>
      <c r="G478" s="14" t="s">
        <v>2847</v>
      </c>
      <c r="H478" t="s">
        <v>3524</v>
      </c>
      <c r="I478" s="15"/>
      <c r="J478" s="14" t="s">
        <v>3521</v>
      </c>
      <c r="K478" s="15"/>
      <c r="M478" s="14"/>
    </row>
    <row r="479" spans="1:14" x14ac:dyDescent="0.3">
      <c r="A479">
        <v>478</v>
      </c>
      <c r="B479" s="14" t="s">
        <v>2547</v>
      </c>
      <c r="C479" s="14" t="s">
        <v>338</v>
      </c>
      <c r="D479" s="14" t="s">
        <v>105</v>
      </c>
      <c r="E479" s="14" t="s">
        <v>44</v>
      </c>
      <c r="F479" s="15">
        <v>45363</v>
      </c>
      <c r="G479" s="14" t="s">
        <v>3539</v>
      </c>
      <c r="H479" t="s">
        <v>3524</v>
      </c>
      <c r="I479" s="15"/>
      <c r="J479" s="14" t="s">
        <v>3521</v>
      </c>
      <c r="K479" s="15"/>
      <c r="M479" s="14"/>
    </row>
    <row r="480" spans="1:14" x14ac:dyDescent="0.3">
      <c r="A480">
        <v>479</v>
      </c>
      <c r="B480" s="14" t="s">
        <v>2596</v>
      </c>
      <c r="C480" s="14" t="s">
        <v>374</v>
      </c>
      <c r="D480" s="14" t="s">
        <v>105</v>
      </c>
      <c r="E480" s="14" t="s">
        <v>44</v>
      </c>
      <c r="F480" s="15">
        <v>45376</v>
      </c>
      <c r="G480" s="14" t="s">
        <v>3539</v>
      </c>
      <c r="H480" t="s">
        <v>3524</v>
      </c>
      <c r="I480" s="15"/>
      <c r="J480" s="14" t="s">
        <v>3521</v>
      </c>
      <c r="K480" s="15"/>
      <c r="M480" s="14"/>
    </row>
    <row r="481" spans="1:14" x14ac:dyDescent="0.3">
      <c r="A481">
        <v>480</v>
      </c>
      <c r="B481" s="14" t="s">
        <v>2548</v>
      </c>
      <c r="C481" s="14" t="s">
        <v>339</v>
      </c>
      <c r="D481" s="14" t="s">
        <v>105</v>
      </c>
      <c r="E481" s="14" t="s">
        <v>44</v>
      </c>
      <c r="F481" s="15">
        <v>45363</v>
      </c>
      <c r="G481" s="14" t="s">
        <v>3539</v>
      </c>
      <c r="H481" t="s">
        <v>3524</v>
      </c>
      <c r="I481" s="15"/>
      <c r="J481" s="14" t="s">
        <v>3521</v>
      </c>
      <c r="K481" s="15"/>
      <c r="M481" s="14"/>
    </row>
    <row r="482" spans="1:14" x14ac:dyDescent="0.3">
      <c r="A482">
        <v>481</v>
      </c>
      <c r="B482" s="14" t="s">
        <v>2648</v>
      </c>
      <c r="C482" s="14" t="s">
        <v>416</v>
      </c>
      <c r="D482" s="14" t="s">
        <v>105</v>
      </c>
      <c r="E482" s="14" t="s">
        <v>44</v>
      </c>
      <c r="F482" s="15">
        <v>45392</v>
      </c>
      <c r="G482" s="14" t="s">
        <v>2847</v>
      </c>
      <c r="H482" t="s">
        <v>3524</v>
      </c>
      <c r="I482" s="15"/>
      <c r="J482" s="14" t="s">
        <v>3521</v>
      </c>
      <c r="K482" s="15"/>
      <c r="M482" s="14"/>
    </row>
    <row r="483" spans="1:14" x14ac:dyDescent="0.3">
      <c r="A483">
        <v>482</v>
      </c>
      <c r="B483" s="14" t="s">
        <v>2484</v>
      </c>
      <c r="C483" s="14" t="s">
        <v>292</v>
      </c>
      <c r="D483" s="14" t="s">
        <v>106</v>
      </c>
      <c r="E483" s="14" t="s">
        <v>45</v>
      </c>
      <c r="F483" s="15">
        <v>45344</v>
      </c>
      <c r="G483" s="14" t="s">
        <v>2847</v>
      </c>
      <c r="H483" t="s">
        <v>3501</v>
      </c>
      <c r="I483" s="15">
        <v>45366</v>
      </c>
      <c r="J483" s="14"/>
      <c r="K483" s="15"/>
      <c r="M483" s="14"/>
      <c r="N483">
        <v>107</v>
      </c>
    </row>
    <row r="484" spans="1:14" x14ac:dyDescent="0.3">
      <c r="A484">
        <v>483</v>
      </c>
      <c r="B484" s="14" t="s">
        <v>2529</v>
      </c>
      <c r="C484" s="14" t="s">
        <v>324</v>
      </c>
      <c r="D484" s="14" t="s">
        <v>106</v>
      </c>
      <c r="E484" s="14" t="s">
        <v>45</v>
      </c>
      <c r="F484" s="15">
        <v>45356</v>
      </c>
      <c r="G484" s="14" t="s">
        <v>2848</v>
      </c>
      <c r="H484" t="s">
        <v>3500</v>
      </c>
      <c r="I484" s="15">
        <v>45355</v>
      </c>
      <c r="J484" s="14"/>
      <c r="K484" s="15"/>
      <c r="M484" s="14"/>
      <c r="N484">
        <v>95</v>
      </c>
    </row>
    <row r="485" spans="1:14" x14ac:dyDescent="0.3">
      <c r="A485">
        <v>484</v>
      </c>
      <c r="B485" s="14" t="s">
        <v>2483</v>
      </c>
      <c r="C485" s="14" t="s">
        <v>291</v>
      </c>
      <c r="D485" s="14" t="s">
        <v>106</v>
      </c>
      <c r="E485" s="14" t="s">
        <v>45</v>
      </c>
      <c r="F485" s="15">
        <v>45344</v>
      </c>
      <c r="G485" s="14" t="s">
        <v>2848</v>
      </c>
      <c r="H485" t="s">
        <v>3500</v>
      </c>
      <c r="I485" s="15">
        <v>45349</v>
      </c>
      <c r="J485" s="14"/>
      <c r="K485" s="15"/>
      <c r="M485" s="14"/>
      <c r="N485">
        <v>107</v>
      </c>
    </row>
    <row r="486" spans="1:14" x14ac:dyDescent="0.3">
      <c r="A486">
        <v>485</v>
      </c>
      <c r="B486" s="14" t="s">
        <v>2485</v>
      </c>
      <c r="C486" s="14" t="s">
        <v>293</v>
      </c>
      <c r="D486" s="14" t="s">
        <v>106</v>
      </c>
      <c r="E486" s="14" t="s">
        <v>45</v>
      </c>
      <c r="F486" s="15">
        <v>45344</v>
      </c>
      <c r="G486" s="14" t="s">
        <v>2848</v>
      </c>
      <c r="H486" t="s">
        <v>3500</v>
      </c>
      <c r="I486" s="15">
        <v>45349</v>
      </c>
      <c r="J486" s="14"/>
      <c r="K486" s="15"/>
      <c r="M486" s="14"/>
      <c r="N486">
        <v>107</v>
      </c>
    </row>
    <row r="487" spans="1:14" x14ac:dyDescent="0.3">
      <c r="A487">
        <v>486</v>
      </c>
      <c r="B487" s="14" t="s">
        <v>2442</v>
      </c>
      <c r="C487" s="14" t="s">
        <v>257</v>
      </c>
      <c r="D487" s="14" t="s">
        <v>106</v>
      </c>
      <c r="E487" s="14" t="s">
        <v>45</v>
      </c>
      <c r="F487" s="15">
        <v>45317</v>
      </c>
      <c r="G487" s="14" t="s">
        <v>2848</v>
      </c>
      <c r="H487" t="s">
        <v>3500</v>
      </c>
      <c r="I487" s="15">
        <v>45329</v>
      </c>
      <c r="J487" s="14"/>
      <c r="K487" s="15"/>
      <c r="M487" s="14"/>
      <c r="N487">
        <v>134</v>
      </c>
    </row>
    <row r="488" spans="1:14" x14ac:dyDescent="0.3">
      <c r="A488">
        <v>487</v>
      </c>
      <c r="B488" s="14" t="s">
        <v>2443</v>
      </c>
      <c r="C488" s="14" t="s">
        <v>258</v>
      </c>
      <c r="D488" s="14" t="s">
        <v>106</v>
      </c>
      <c r="E488" s="14" t="s">
        <v>45</v>
      </c>
      <c r="F488" s="15">
        <v>45317</v>
      </c>
      <c r="G488" s="14" t="s">
        <v>2848</v>
      </c>
      <c r="H488" t="s">
        <v>3500</v>
      </c>
      <c r="I488" s="15">
        <v>45329</v>
      </c>
      <c r="J488" s="14"/>
      <c r="K488" s="15"/>
      <c r="M488" s="14"/>
      <c r="N488">
        <v>134</v>
      </c>
    </row>
    <row r="489" spans="1:14" x14ac:dyDescent="0.3">
      <c r="A489">
        <v>488</v>
      </c>
      <c r="B489" s="14" t="s">
        <v>2592</v>
      </c>
      <c r="C489" s="14" t="s">
        <v>2207</v>
      </c>
      <c r="D489" s="14" t="s">
        <v>106</v>
      </c>
      <c r="E489" s="14" t="s">
        <v>45</v>
      </c>
      <c r="F489" s="15">
        <v>45372</v>
      </c>
      <c r="G489" s="14" t="s">
        <v>2848</v>
      </c>
      <c r="H489" t="s">
        <v>3523</v>
      </c>
      <c r="I489" s="15"/>
      <c r="J489" s="14"/>
      <c r="K489" s="15"/>
      <c r="M489" s="14"/>
      <c r="N489">
        <v>79</v>
      </c>
    </row>
    <row r="490" spans="1:14" x14ac:dyDescent="0.3">
      <c r="A490">
        <v>489</v>
      </c>
      <c r="B490" s="14" t="s">
        <v>2586</v>
      </c>
      <c r="C490" s="14" t="s">
        <v>367</v>
      </c>
      <c r="D490" s="14" t="s">
        <v>106</v>
      </c>
      <c r="E490" s="14" t="s">
        <v>45</v>
      </c>
      <c r="F490" s="15">
        <v>45370</v>
      </c>
      <c r="G490" s="14" t="s">
        <v>2848</v>
      </c>
      <c r="H490" t="s">
        <v>3523</v>
      </c>
      <c r="I490" s="15"/>
      <c r="J490" s="14"/>
      <c r="K490" s="15"/>
      <c r="M490" s="14"/>
      <c r="N490">
        <v>81</v>
      </c>
    </row>
    <row r="491" spans="1:14" x14ac:dyDescent="0.3">
      <c r="A491">
        <v>490</v>
      </c>
      <c r="B491" s="14" t="s">
        <v>2564</v>
      </c>
      <c r="C491" s="14" t="s">
        <v>349</v>
      </c>
      <c r="D491" s="14" t="s">
        <v>106</v>
      </c>
      <c r="E491" s="14" t="s">
        <v>45</v>
      </c>
      <c r="F491" s="15">
        <v>45366</v>
      </c>
      <c r="G491" s="14" t="s">
        <v>2848</v>
      </c>
      <c r="H491" t="s">
        <v>3523</v>
      </c>
      <c r="I491" s="15"/>
      <c r="J491" s="14"/>
      <c r="K491" s="15"/>
      <c r="M491" s="14"/>
      <c r="N491">
        <v>85</v>
      </c>
    </row>
    <row r="492" spans="1:14" x14ac:dyDescent="0.3">
      <c r="A492">
        <v>491</v>
      </c>
      <c r="B492" s="14" t="s">
        <v>2569</v>
      </c>
      <c r="C492" s="14" t="s">
        <v>354</v>
      </c>
      <c r="D492" s="14" t="s">
        <v>106</v>
      </c>
      <c r="E492" s="14" t="s">
        <v>45</v>
      </c>
      <c r="F492" s="15">
        <v>45366</v>
      </c>
      <c r="G492" s="14" t="s">
        <v>2848</v>
      </c>
      <c r="H492" t="s">
        <v>3523</v>
      </c>
      <c r="I492" s="15"/>
      <c r="J492" s="14"/>
      <c r="K492" s="15"/>
      <c r="M492" s="14"/>
      <c r="N492">
        <v>85</v>
      </c>
    </row>
    <row r="493" spans="1:14" x14ac:dyDescent="0.3">
      <c r="A493">
        <v>492</v>
      </c>
      <c r="B493" s="14" t="s">
        <v>2565</v>
      </c>
      <c r="C493" s="14" t="s">
        <v>350</v>
      </c>
      <c r="D493" s="14" t="s">
        <v>106</v>
      </c>
      <c r="E493" s="14" t="s">
        <v>45</v>
      </c>
      <c r="F493" s="15">
        <v>45366</v>
      </c>
      <c r="G493" s="14" t="s">
        <v>2848</v>
      </c>
      <c r="H493" t="s">
        <v>3523</v>
      </c>
      <c r="I493" s="15"/>
      <c r="J493" s="14"/>
      <c r="K493" s="15"/>
      <c r="M493" s="14"/>
      <c r="N493">
        <v>85</v>
      </c>
    </row>
    <row r="494" spans="1:14" x14ac:dyDescent="0.3">
      <c r="A494">
        <v>493</v>
      </c>
      <c r="B494" s="14" t="s">
        <v>2560</v>
      </c>
      <c r="C494" s="14" t="s">
        <v>2201</v>
      </c>
      <c r="D494" s="14" t="s">
        <v>106</v>
      </c>
      <c r="E494" s="14" t="s">
        <v>45</v>
      </c>
      <c r="F494" s="15">
        <v>45365</v>
      </c>
      <c r="G494" s="14" t="s">
        <v>3539</v>
      </c>
      <c r="H494" t="s">
        <v>3523</v>
      </c>
      <c r="I494" s="15"/>
      <c r="J494" s="14"/>
      <c r="K494" s="15"/>
      <c r="M494" s="14"/>
      <c r="N494">
        <v>86</v>
      </c>
    </row>
    <row r="495" spans="1:14" x14ac:dyDescent="0.3">
      <c r="A495">
        <v>494</v>
      </c>
      <c r="B495" s="14" t="s">
        <v>2549</v>
      </c>
      <c r="C495" s="14" t="s">
        <v>340</v>
      </c>
      <c r="D495" s="14" t="s">
        <v>106</v>
      </c>
      <c r="E495" s="14" t="s">
        <v>45</v>
      </c>
      <c r="F495" s="15">
        <v>45363</v>
      </c>
      <c r="G495" s="14" t="s">
        <v>2848</v>
      </c>
      <c r="H495" t="s">
        <v>3523</v>
      </c>
      <c r="I495" s="15"/>
      <c r="J495" s="14"/>
      <c r="K495" s="15"/>
      <c r="M495" s="14"/>
      <c r="N495">
        <v>88</v>
      </c>
    </row>
    <row r="496" spans="1:14" x14ac:dyDescent="0.3">
      <c r="A496">
        <v>495</v>
      </c>
      <c r="B496" s="14" t="s">
        <v>2545</v>
      </c>
      <c r="C496" s="14" t="s">
        <v>336</v>
      </c>
      <c r="D496" s="14" t="s">
        <v>106</v>
      </c>
      <c r="E496" s="14" t="s">
        <v>45</v>
      </c>
      <c r="F496" s="15">
        <v>45363</v>
      </c>
      <c r="G496" s="14" t="s">
        <v>2848</v>
      </c>
      <c r="H496" t="s">
        <v>3523</v>
      </c>
      <c r="I496" s="15"/>
      <c r="J496" s="14"/>
      <c r="K496" s="15"/>
      <c r="M496" s="14"/>
      <c r="N496">
        <v>88</v>
      </c>
    </row>
    <row r="497" spans="1:14" x14ac:dyDescent="0.3">
      <c r="A497">
        <v>496</v>
      </c>
      <c r="B497" s="14" t="s">
        <v>2533</v>
      </c>
      <c r="C497" s="14" t="s">
        <v>328</v>
      </c>
      <c r="D497" s="14" t="s">
        <v>106</v>
      </c>
      <c r="E497" s="14" t="s">
        <v>45</v>
      </c>
      <c r="F497" s="15">
        <v>45357</v>
      </c>
      <c r="G497" s="14" t="s">
        <v>2848</v>
      </c>
      <c r="H497" t="s">
        <v>3523</v>
      </c>
      <c r="I497" s="15"/>
      <c r="J497" s="14"/>
      <c r="K497" s="15"/>
      <c r="M497" s="14"/>
      <c r="N497">
        <v>94</v>
      </c>
    </row>
    <row r="498" spans="1:14" x14ac:dyDescent="0.3">
      <c r="A498">
        <v>497</v>
      </c>
      <c r="B498" s="14" t="s">
        <v>2523</v>
      </c>
      <c r="C498" s="14" t="s">
        <v>320</v>
      </c>
      <c r="D498" s="14" t="s">
        <v>106</v>
      </c>
      <c r="E498" s="14" t="s">
        <v>45</v>
      </c>
      <c r="F498" s="15">
        <v>45355</v>
      </c>
      <c r="G498" s="14" t="s">
        <v>3539</v>
      </c>
      <c r="H498" t="s">
        <v>3523</v>
      </c>
      <c r="I498" s="15"/>
      <c r="J498" s="14"/>
      <c r="K498" s="15"/>
      <c r="M498" s="14"/>
      <c r="N498">
        <v>96</v>
      </c>
    </row>
    <row r="499" spans="1:14" x14ac:dyDescent="0.3">
      <c r="A499">
        <v>498</v>
      </c>
      <c r="B499" s="14" t="s">
        <v>2494</v>
      </c>
      <c r="C499" s="14" t="s">
        <v>302</v>
      </c>
      <c r="D499" s="14" t="s">
        <v>106</v>
      </c>
      <c r="E499" s="14" t="s">
        <v>45</v>
      </c>
      <c r="F499" s="15">
        <v>45348</v>
      </c>
      <c r="G499" s="14" t="s">
        <v>2848</v>
      </c>
      <c r="H499" t="s">
        <v>3523</v>
      </c>
      <c r="I499" s="15"/>
      <c r="J499" s="14"/>
      <c r="K499" s="15"/>
      <c r="M499" s="14"/>
      <c r="N499">
        <v>103</v>
      </c>
    </row>
    <row r="500" spans="1:14" x14ac:dyDescent="0.3">
      <c r="A500">
        <v>499</v>
      </c>
      <c r="B500" s="14" t="s">
        <v>2497</v>
      </c>
      <c r="C500" s="14" t="s">
        <v>2182</v>
      </c>
      <c r="D500" s="14" t="s">
        <v>106</v>
      </c>
      <c r="E500" s="14" t="s">
        <v>45</v>
      </c>
      <c r="F500" s="15">
        <v>45348</v>
      </c>
      <c r="G500" s="14" t="s">
        <v>3539</v>
      </c>
      <c r="H500" t="s">
        <v>3500</v>
      </c>
      <c r="I500" s="15">
        <v>45355</v>
      </c>
      <c r="J500" s="14" t="s">
        <v>3521</v>
      </c>
      <c r="K500" s="15"/>
      <c r="M500" s="14" t="s">
        <v>3477</v>
      </c>
      <c r="N500">
        <v>7</v>
      </c>
    </row>
    <row r="501" spans="1:14" x14ac:dyDescent="0.3">
      <c r="A501">
        <v>500</v>
      </c>
      <c r="B501" s="14" t="s">
        <v>2563</v>
      </c>
      <c r="C501" s="14" t="s">
        <v>348</v>
      </c>
      <c r="D501" s="14" t="s">
        <v>106</v>
      </c>
      <c r="E501" s="14" t="s">
        <v>45</v>
      </c>
      <c r="F501" s="15">
        <v>45366</v>
      </c>
      <c r="G501" s="14" t="s">
        <v>2848</v>
      </c>
      <c r="H501" t="s">
        <v>3524</v>
      </c>
      <c r="I501" s="15"/>
      <c r="J501" s="14" t="s">
        <v>3521</v>
      </c>
      <c r="K501" s="15"/>
      <c r="M501" s="14"/>
    </row>
    <row r="502" spans="1:14" x14ac:dyDescent="0.3">
      <c r="A502">
        <v>501</v>
      </c>
      <c r="B502" s="14" t="s">
        <v>2502</v>
      </c>
      <c r="C502" s="14" t="s">
        <v>309</v>
      </c>
      <c r="D502" s="14" t="s">
        <v>106</v>
      </c>
      <c r="E502" s="14" t="s">
        <v>45</v>
      </c>
      <c r="F502" s="15">
        <v>45350</v>
      </c>
      <c r="G502" s="14" t="s">
        <v>3539</v>
      </c>
      <c r="H502" t="s">
        <v>3524</v>
      </c>
      <c r="I502" s="15"/>
      <c r="J502" s="14" t="s">
        <v>3521</v>
      </c>
      <c r="K502" s="15"/>
      <c r="M502" s="14"/>
    </row>
    <row r="503" spans="1:14" x14ac:dyDescent="0.3">
      <c r="A503">
        <v>502</v>
      </c>
      <c r="B503" s="14" t="s">
        <v>2469</v>
      </c>
      <c r="C503" s="14" t="s">
        <v>278</v>
      </c>
      <c r="D503" s="14" t="s">
        <v>110</v>
      </c>
      <c r="E503" s="14" t="s">
        <v>50</v>
      </c>
      <c r="F503" s="15">
        <v>45327</v>
      </c>
      <c r="G503" s="14" t="s">
        <v>2847</v>
      </c>
      <c r="H503" t="s">
        <v>3501</v>
      </c>
      <c r="I503" s="15">
        <v>45349</v>
      </c>
      <c r="J503" s="14"/>
      <c r="K503" s="15"/>
      <c r="M503" s="14"/>
      <c r="N503">
        <v>124</v>
      </c>
    </row>
    <row r="504" spans="1:14" x14ac:dyDescent="0.3">
      <c r="A504">
        <v>503</v>
      </c>
      <c r="B504" s="14" t="s">
        <v>2475</v>
      </c>
      <c r="C504" s="14" t="s">
        <v>283</v>
      </c>
      <c r="D504" s="14" t="s">
        <v>112</v>
      </c>
      <c r="E504" s="14" t="s">
        <v>53</v>
      </c>
      <c r="F504" s="15">
        <v>45342</v>
      </c>
      <c r="G504" s="14" t="s">
        <v>2845</v>
      </c>
      <c r="H504" t="s">
        <v>3500</v>
      </c>
      <c r="I504" s="15">
        <v>45343</v>
      </c>
      <c r="J504" s="14"/>
      <c r="K504" s="15"/>
      <c r="M504" s="14"/>
      <c r="N504">
        <v>109</v>
      </c>
    </row>
    <row r="505" spans="1:14" x14ac:dyDescent="0.3">
      <c r="A505">
        <v>504</v>
      </c>
      <c r="B505" s="14" t="s">
        <v>2553</v>
      </c>
      <c r="C505" s="14" t="s">
        <v>343</v>
      </c>
      <c r="D505" s="14" t="s">
        <v>114</v>
      </c>
      <c r="E505" s="14" t="s">
        <v>55</v>
      </c>
      <c r="F505" s="15">
        <v>45364</v>
      </c>
      <c r="G505" s="14" t="s">
        <v>2845</v>
      </c>
      <c r="H505" t="s">
        <v>3500</v>
      </c>
      <c r="I505" s="15">
        <v>45364</v>
      </c>
      <c r="J505" s="14"/>
      <c r="K505" s="15"/>
      <c r="M505" s="14"/>
      <c r="N505">
        <v>87</v>
      </c>
    </row>
    <row r="506" spans="1:14" x14ac:dyDescent="0.3">
      <c r="A506">
        <v>505</v>
      </c>
      <c r="B506" s="14" t="s">
        <v>2550</v>
      </c>
      <c r="C506" s="14" t="s">
        <v>341</v>
      </c>
      <c r="D506" s="14" t="s">
        <v>114</v>
      </c>
      <c r="E506" s="14" t="s">
        <v>55</v>
      </c>
      <c r="F506" s="15">
        <v>45363</v>
      </c>
      <c r="G506" s="14" t="s">
        <v>3539</v>
      </c>
      <c r="H506" t="s">
        <v>3500</v>
      </c>
      <c r="I506" s="15">
        <v>45364</v>
      </c>
      <c r="J506" s="14"/>
      <c r="K506" s="15"/>
      <c r="M506" s="14"/>
      <c r="N506">
        <v>88</v>
      </c>
    </row>
    <row r="507" spans="1:14" x14ac:dyDescent="0.3">
      <c r="A507">
        <v>506</v>
      </c>
      <c r="B507" s="14" t="s">
        <v>2720</v>
      </c>
      <c r="C507" s="14" t="s">
        <v>481</v>
      </c>
      <c r="D507" s="14" t="s">
        <v>114</v>
      </c>
      <c r="E507" s="14" t="s">
        <v>55</v>
      </c>
      <c r="F507" s="15">
        <v>45407</v>
      </c>
      <c r="G507" s="14" t="s">
        <v>2848</v>
      </c>
      <c r="H507" t="s">
        <v>3523</v>
      </c>
      <c r="I507" s="15"/>
      <c r="J507" s="14"/>
      <c r="K507" s="15"/>
      <c r="M507" s="14"/>
      <c r="N507">
        <v>44</v>
      </c>
    </row>
    <row r="508" spans="1:14" x14ac:dyDescent="0.3">
      <c r="A508">
        <v>507</v>
      </c>
      <c r="B508" s="14" t="s">
        <v>2718</v>
      </c>
      <c r="C508" s="14" t="s">
        <v>480</v>
      </c>
      <c r="D508" s="14" t="s">
        <v>114</v>
      </c>
      <c r="E508" s="14" t="s">
        <v>55</v>
      </c>
      <c r="F508" s="15">
        <v>45406</v>
      </c>
      <c r="G508" s="14" t="s">
        <v>2848</v>
      </c>
      <c r="H508" t="s">
        <v>3523</v>
      </c>
      <c r="I508" s="15"/>
      <c r="J508" s="14"/>
      <c r="K508" s="15"/>
      <c r="M508" s="14"/>
      <c r="N508">
        <v>45</v>
      </c>
    </row>
    <row r="509" spans="1:14" x14ac:dyDescent="0.3">
      <c r="A509">
        <v>508</v>
      </c>
      <c r="B509" s="14" t="s">
        <v>2667</v>
      </c>
      <c r="C509" s="14" t="s">
        <v>435</v>
      </c>
      <c r="D509" s="14" t="s">
        <v>114</v>
      </c>
      <c r="E509" s="14" t="s">
        <v>55</v>
      </c>
      <c r="F509" s="15">
        <v>45391</v>
      </c>
      <c r="G509" s="14" t="s">
        <v>2848</v>
      </c>
      <c r="H509" t="s">
        <v>3523</v>
      </c>
      <c r="I509" s="15"/>
      <c r="J509" s="14"/>
      <c r="K509" s="15"/>
      <c r="M509" s="14"/>
      <c r="N509">
        <v>60</v>
      </c>
    </row>
    <row r="510" spans="1:14" x14ac:dyDescent="0.3">
      <c r="A510">
        <v>509</v>
      </c>
      <c r="B510" s="14" t="s">
        <v>2668</v>
      </c>
      <c r="C510" s="14" t="s">
        <v>436</v>
      </c>
      <c r="D510" s="14" t="s">
        <v>114</v>
      </c>
      <c r="E510" s="14" t="s">
        <v>55</v>
      </c>
      <c r="F510" s="15">
        <v>45391</v>
      </c>
      <c r="G510" s="14" t="s">
        <v>2848</v>
      </c>
      <c r="H510" t="s">
        <v>3523</v>
      </c>
      <c r="I510" s="15"/>
      <c r="J510" s="14"/>
      <c r="K510" s="15"/>
      <c r="M510" s="14"/>
      <c r="N510">
        <v>60</v>
      </c>
    </row>
    <row r="511" spans="1:14" x14ac:dyDescent="0.3">
      <c r="A511">
        <v>510</v>
      </c>
      <c r="B511" s="14" t="s">
        <v>2629</v>
      </c>
      <c r="C511" s="14" t="s">
        <v>399</v>
      </c>
      <c r="D511" s="14" t="s">
        <v>114</v>
      </c>
      <c r="E511" s="14" t="s">
        <v>55</v>
      </c>
      <c r="F511" s="15">
        <v>45385</v>
      </c>
      <c r="G511" s="14" t="s">
        <v>2848</v>
      </c>
      <c r="H511" t="s">
        <v>3523</v>
      </c>
      <c r="I511" s="15"/>
      <c r="J511" s="14"/>
      <c r="K511" s="15"/>
      <c r="M511" s="14"/>
      <c r="N511">
        <v>66</v>
      </c>
    </row>
    <row r="512" spans="1:14" x14ac:dyDescent="0.3">
      <c r="A512">
        <v>511</v>
      </c>
      <c r="B512" s="14" t="s">
        <v>2626</v>
      </c>
      <c r="C512" s="14" t="s">
        <v>396</v>
      </c>
      <c r="D512" s="14" t="s">
        <v>114</v>
      </c>
      <c r="E512" s="14" t="s">
        <v>55</v>
      </c>
      <c r="F512" s="15">
        <v>45384</v>
      </c>
      <c r="G512" s="14" t="s">
        <v>2848</v>
      </c>
      <c r="H512" t="s">
        <v>3523</v>
      </c>
      <c r="I512" s="15"/>
      <c r="J512" s="14"/>
      <c r="K512" s="15"/>
      <c r="M512" s="14"/>
      <c r="N512">
        <v>67</v>
      </c>
    </row>
    <row r="513" spans="1:14" x14ac:dyDescent="0.3">
      <c r="A513">
        <v>512</v>
      </c>
      <c r="B513" s="14" t="s">
        <v>2620</v>
      </c>
      <c r="C513" s="14" t="s">
        <v>391</v>
      </c>
      <c r="D513" s="14" t="s">
        <v>114</v>
      </c>
      <c r="E513" s="14" t="s">
        <v>55</v>
      </c>
      <c r="F513" s="15">
        <v>45383</v>
      </c>
      <c r="G513" s="14" t="s">
        <v>2848</v>
      </c>
      <c r="H513" t="s">
        <v>3523</v>
      </c>
      <c r="I513" s="15"/>
      <c r="J513" s="14"/>
      <c r="K513" s="15"/>
      <c r="M513" s="14"/>
      <c r="N513">
        <v>68</v>
      </c>
    </row>
    <row r="514" spans="1:14" x14ac:dyDescent="0.3">
      <c r="A514">
        <v>513</v>
      </c>
      <c r="B514" s="14" t="s">
        <v>2605</v>
      </c>
      <c r="C514" s="14" t="s">
        <v>2212</v>
      </c>
      <c r="D514" s="14" t="s">
        <v>114</v>
      </c>
      <c r="E514" s="14" t="s">
        <v>55</v>
      </c>
      <c r="F514" s="15">
        <v>45378</v>
      </c>
      <c r="G514" s="14" t="s">
        <v>2848</v>
      </c>
      <c r="H514" t="s">
        <v>3523</v>
      </c>
      <c r="I514" s="15"/>
      <c r="J514" s="14"/>
      <c r="K514" s="15"/>
      <c r="M514" s="14"/>
      <c r="N514">
        <v>73</v>
      </c>
    </row>
    <row r="515" spans="1:14" x14ac:dyDescent="0.3">
      <c r="A515">
        <v>514</v>
      </c>
      <c r="B515" s="14" t="s">
        <v>2599</v>
      </c>
      <c r="C515" s="14" t="s">
        <v>2209</v>
      </c>
      <c r="D515" s="14" t="s">
        <v>114</v>
      </c>
      <c r="E515" s="14" t="s">
        <v>55</v>
      </c>
      <c r="F515" s="15">
        <v>45377</v>
      </c>
      <c r="G515" s="14" t="s">
        <v>2848</v>
      </c>
      <c r="H515" t="s">
        <v>3523</v>
      </c>
      <c r="I515" s="15"/>
      <c r="J515" s="14"/>
      <c r="K515" s="15"/>
      <c r="M515" s="14"/>
      <c r="N515">
        <v>74</v>
      </c>
    </row>
    <row r="516" spans="1:14" x14ac:dyDescent="0.3">
      <c r="A516">
        <v>515</v>
      </c>
      <c r="B516" s="14" t="s">
        <v>2600</v>
      </c>
      <c r="C516" s="14" t="s">
        <v>376</v>
      </c>
      <c r="D516" s="14" t="s">
        <v>114</v>
      </c>
      <c r="E516" s="14" t="s">
        <v>55</v>
      </c>
      <c r="F516" s="15">
        <v>45377</v>
      </c>
      <c r="G516" s="14" t="s">
        <v>2848</v>
      </c>
      <c r="H516" t="s">
        <v>3523</v>
      </c>
      <c r="I516" s="15"/>
      <c r="J516" s="14"/>
      <c r="K516" s="15"/>
      <c r="M516" s="14"/>
      <c r="N516">
        <v>74</v>
      </c>
    </row>
    <row r="517" spans="1:14" x14ac:dyDescent="0.3">
      <c r="A517">
        <v>516</v>
      </c>
      <c r="B517" s="14" t="s">
        <v>2603</v>
      </c>
      <c r="C517" s="14" t="s">
        <v>2211</v>
      </c>
      <c r="D517" s="14" t="s">
        <v>114</v>
      </c>
      <c r="E517" s="14" t="s">
        <v>55</v>
      </c>
      <c r="F517" s="15">
        <v>45377</v>
      </c>
      <c r="G517" s="14" t="s">
        <v>2848</v>
      </c>
      <c r="H517" t="s">
        <v>3523</v>
      </c>
      <c r="I517" s="15"/>
      <c r="J517" s="14"/>
      <c r="K517" s="15"/>
      <c r="M517" s="14"/>
      <c r="N517">
        <v>74</v>
      </c>
    </row>
    <row r="518" spans="1:14" x14ac:dyDescent="0.3">
      <c r="A518">
        <v>517</v>
      </c>
      <c r="B518" s="14" t="s">
        <v>2601</v>
      </c>
      <c r="C518" s="14" t="s">
        <v>2210</v>
      </c>
      <c r="D518" s="14" t="s">
        <v>114</v>
      </c>
      <c r="E518" s="14" t="s">
        <v>55</v>
      </c>
      <c r="F518" s="15">
        <v>45377</v>
      </c>
      <c r="G518" s="14" t="s">
        <v>2848</v>
      </c>
      <c r="H518" t="s">
        <v>3523</v>
      </c>
      <c r="I518" s="15"/>
      <c r="J518" s="14"/>
      <c r="K518" s="15"/>
      <c r="M518" s="14"/>
      <c r="N518">
        <v>74</v>
      </c>
    </row>
    <row r="519" spans="1:14" x14ac:dyDescent="0.3">
      <c r="A519">
        <v>518</v>
      </c>
      <c r="B519" s="14" t="s">
        <v>2598</v>
      </c>
      <c r="C519" s="14" t="s">
        <v>2208</v>
      </c>
      <c r="D519" s="14" t="s">
        <v>114</v>
      </c>
      <c r="E519" s="14" t="s">
        <v>55</v>
      </c>
      <c r="F519" s="15">
        <v>45377</v>
      </c>
      <c r="G519" s="14" t="s">
        <v>2848</v>
      </c>
      <c r="H519" t="s">
        <v>3523</v>
      </c>
      <c r="I519" s="15"/>
      <c r="J519" s="14"/>
      <c r="K519" s="15"/>
      <c r="M519" s="14"/>
      <c r="N519">
        <v>74</v>
      </c>
    </row>
    <row r="520" spans="1:14" x14ac:dyDescent="0.3">
      <c r="A520">
        <v>519</v>
      </c>
      <c r="B520" s="14" t="s">
        <v>2585</v>
      </c>
      <c r="C520" s="14" t="s">
        <v>2205</v>
      </c>
      <c r="D520" s="14" t="s">
        <v>114</v>
      </c>
      <c r="E520" s="14" t="s">
        <v>55</v>
      </c>
      <c r="F520" s="15">
        <v>45369</v>
      </c>
      <c r="G520" s="14" t="s">
        <v>2848</v>
      </c>
      <c r="H520" t="s">
        <v>3523</v>
      </c>
      <c r="I520" s="15"/>
      <c r="J520" s="14"/>
      <c r="K520" s="15"/>
      <c r="M520" s="14"/>
      <c r="N520">
        <v>82</v>
      </c>
    </row>
    <row r="521" spans="1:14" x14ac:dyDescent="0.3">
      <c r="A521">
        <v>520</v>
      </c>
      <c r="B521" s="14" t="s">
        <v>2580</v>
      </c>
      <c r="C521" s="14" t="s">
        <v>363</v>
      </c>
      <c r="D521" s="14" t="s">
        <v>114</v>
      </c>
      <c r="E521" s="14" t="s">
        <v>55</v>
      </c>
      <c r="F521" s="15">
        <v>45369</v>
      </c>
      <c r="G521" s="14" t="s">
        <v>2848</v>
      </c>
      <c r="H521" t="s">
        <v>3523</v>
      </c>
      <c r="I521" s="15"/>
      <c r="J521" s="14"/>
      <c r="K521" s="15"/>
      <c r="M521" s="14"/>
      <c r="N521">
        <v>82</v>
      </c>
    </row>
    <row r="522" spans="1:14" x14ac:dyDescent="0.3">
      <c r="A522">
        <v>521</v>
      </c>
      <c r="B522" s="14" t="s">
        <v>2628</v>
      </c>
      <c r="C522" s="14" t="s">
        <v>398</v>
      </c>
      <c r="D522" s="14" t="s">
        <v>114</v>
      </c>
      <c r="E522" s="14" t="s">
        <v>55</v>
      </c>
      <c r="F522" s="15">
        <v>45385</v>
      </c>
      <c r="G522" s="14" t="s">
        <v>2848</v>
      </c>
      <c r="H522" t="s">
        <v>3500</v>
      </c>
      <c r="I522" s="15">
        <v>45386</v>
      </c>
      <c r="J522" s="14" t="s">
        <v>3521</v>
      </c>
      <c r="K522" s="15"/>
      <c r="M522" s="14" t="s">
        <v>3477</v>
      </c>
      <c r="N522">
        <v>1</v>
      </c>
    </row>
    <row r="523" spans="1:14" x14ac:dyDescent="0.3">
      <c r="A523">
        <v>522</v>
      </c>
      <c r="B523" s="14" t="s">
        <v>2615</v>
      </c>
      <c r="C523" s="14" t="s">
        <v>388</v>
      </c>
      <c r="D523" s="14" t="s">
        <v>114</v>
      </c>
      <c r="E523" s="14" t="s">
        <v>55</v>
      </c>
      <c r="F523" s="15">
        <v>45382</v>
      </c>
      <c r="G523" s="14" t="s">
        <v>2848</v>
      </c>
      <c r="H523" t="s">
        <v>3500</v>
      </c>
      <c r="I523" s="15">
        <v>45384</v>
      </c>
      <c r="J523" s="14" t="s">
        <v>3521</v>
      </c>
      <c r="K523" s="15"/>
      <c r="M523" s="14" t="s">
        <v>3477</v>
      </c>
      <c r="N523">
        <v>2</v>
      </c>
    </row>
    <row r="524" spans="1:14" x14ac:dyDescent="0.3">
      <c r="A524">
        <v>523</v>
      </c>
      <c r="B524" s="14" t="s">
        <v>2508</v>
      </c>
      <c r="C524" s="14" t="s">
        <v>2187</v>
      </c>
      <c r="D524" s="14" t="s">
        <v>114</v>
      </c>
      <c r="E524" s="14" t="s">
        <v>55</v>
      </c>
      <c r="F524" s="15">
        <v>45351</v>
      </c>
      <c r="G524" s="14" t="s">
        <v>2848</v>
      </c>
      <c r="H524" t="s">
        <v>3500</v>
      </c>
      <c r="I524" s="15">
        <v>45355</v>
      </c>
      <c r="J524" s="14" t="s">
        <v>3521</v>
      </c>
      <c r="K524" s="15"/>
      <c r="M524" s="14" t="s">
        <v>3477</v>
      </c>
      <c r="N524">
        <v>4</v>
      </c>
    </row>
    <row r="525" spans="1:14" x14ac:dyDescent="0.3">
      <c r="A525">
        <v>524</v>
      </c>
      <c r="B525" s="14" t="s">
        <v>2510</v>
      </c>
      <c r="C525" s="14" t="s">
        <v>311</v>
      </c>
      <c r="D525" s="14" t="s">
        <v>114</v>
      </c>
      <c r="E525" s="14" t="s">
        <v>55</v>
      </c>
      <c r="F525" s="15">
        <v>45351</v>
      </c>
      <c r="G525" s="14" t="s">
        <v>2848</v>
      </c>
      <c r="H525" t="s">
        <v>3500</v>
      </c>
      <c r="I525" s="15">
        <v>45364</v>
      </c>
      <c r="J525" s="14" t="s">
        <v>3521</v>
      </c>
      <c r="K525" s="15"/>
      <c r="M525" s="14" t="s">
        <v>3477</v>
      </c>
      <c r="N525">
        <v>13</v>
      </c>
    </row>
    <row r="526" spans="1:14" x14ac:dyDescent="0.3">
      <c r="A526">
        <v>525</v>
      </c>
      <c r="B526" s="14" t="s">
        <v>2579</v>
      </c>
      <c r="C526" s="14" t="s">
        <v>362</v>
      </c>
      <c r="D526" s="14" t="s">
        <v>114</v>
      </c>
      <c r="E526" s="14" t="s">
        <v>55</v>
      </c>
      <c r="F526" s="15">
        <v>45369</v>
      </c>
      <c r="G526" s="14" t="s">
        <v>2848</v>
      </c>
      <c r="H526" t="s">
        <v>3524</v>
      </c>
      <c r="I526" s="15"/>
      <c r="J526" s="14" t="s">
        <v>3521</v>
      </c>
      <c r="K526" s="15"/>
      <c r="M526" s="14"/>
    </row>
    <row r="527" spans="1:14" x14ac:dyDescent="0.3">
      <c r="A527">
        <v>526</v>
      </c>
      <c r="B527" s="14" t="s">
        <v>2597</v>
      </c>
      <c r="C527" s="14" t="s">
        <v>375</v>
      </c>
      <c r="D527" s="14" t="s">
        <v>114</v>
      </c>
      <c r="E527" s="14" t="s">
        <v>55</v>
      </c>
      <c r="F527" s="15">
        <v>45377</v>
      </c>
      <c r="G527" s="14" t="s">
        <v>2848</v>
      </c>
      <c r="H527" t="s">
        <v>3524</v>
      </c>
      <c r="I527" s="15"/>
      <c r="J527" s="14" t="s">
        <v>3521</v>
      </c>
      <c r="K527" s="15"/>
      <c r="M527" s="14"/>
    </row>
    <row r="528" spans="1:14" x14ac:dyDescent="0.3">
      <c r="A528">
        <v>527</v>
      </c>
      <c r="B528" s="14" t="s">
        <v>2581</v>
      </c>
      <c r="C528" s="14" t="s">
        <v>2204</v>
      </c>
      <c r="D528" s="14" t="s">
        <v>114</v>
      </c>
      <c r="E528" s="14" t="s">
        <v>55</v>
      </c>
      <c r="F528" s="15">
        <v>45369</v>
      </c>
      <c r="G528" s="14" t="s">
        <v>2848</v>
      </c>
      <c r="H528" t="s">
        <v>3524</v>
      </c>
      <c r="I528" s="15"/>
      <c r="J528" s="14" t="s">
        <v>3521</v>
      </c>
      <c r="K528" s="15"/>
      <c r="M528" s="14"/>
    </row>
    <row r="529" spans="1:14" x14ac:dyDescent="0.3">
      <c r="A529">
        <v>528</v>
      </c>
      <c r="B529" s="14" t="s">
        <v>2582</v>
      </c>
      <c r="C529" s="14" t="s">
        <v>364</v>
      </c>
      <c r="D529" s="14" t="s">
        <v>114</v>
      </c>
      <c r="E529" s="14" t="s">
        <v>55</v>
      </c>
      <c r="F529" s="15">
        <v>45369</v>
      </c>
      <c r="G529" s="14" t="s">
        <v>2848</v>
      </c>
      <c r="H529" t="s">
        <v>3524</v>
      </c>
      <c r="I529" s="15"/>
      <c r="J529" s="14" t="s">
        <v>3521</v>
      </c>
      <c r="K529" s="15"/>
      <c r="M529" s="14"/>
    </row>
    <row r="530" spans="1:14" x14ac:dyDescent="0.3">
      <c r="A530">
        <v>529</v>
      </c>
      <c r="B530" s="14" t="s">
        <v>2541</v>
      </c>
      <c r="C530" s="14" t="s">
        <v>238</v>
      </c>
      <c r="D530" s="14" t="s">
        <v>115</v>
      </c>
      <c r="E530" s="14" t="s">
        <v>57</v>
      </c>
      <c r="F530" s="15">
        <v>45362</v>
      </c>
      <c r="G530" s="14" t="s">
        <v>3539</v>
      </c>
      <c r="H530" t="s">
        <v>3500</v>
      </c>
      <c r="I530" s="15">
        <v>45363</v>
      </c>
      <c r="J530" s="14"/>
      <c r="K530" s="15"/>
      <c r="M530" s="14"/>
      <c r="N530">
        <v>89</v>
      </c>
    </row>
    <row r="531" spans="1:14" x14ac:dyDescent="0.3">
      <c r="A531">
        <v>530</v>
      </c>
      <c r="B531" s="14" t="s">
        <v>2604</v>
      </c>
      <c r="C531" s="14" t="s">
        <v>378</v>
      </c>
      <c r="D531" s="14" t="s">
        <v>115</v>
      </c>
      <c r="E531" s="14" t="s">
        <v>57</v>
      </c>
      <c r="F531" s="15">
        <v>45377</v>
      </c>
      <c r="G531" s="14" t="s">
        <v>3539</v>
      </c>
      <c r="H531" t="s">
        <v>3523</v>
      </c>
      <c r="I531" s="15"/>
      <c r="J531" s="14"/>
      <c r="K531" s="15"/>
      <c r="M531" s="14"/>
      <c r="N531">
        <v>74</v>
      </c>
    </row>
    <row r="532" spans="1:14" x14ac:dyDescent="0.3">
      <c r="A532">
        <v>531</v>
      </c>
      <c r="B532" s="14" t="s">
        <v>2554</v>
      </c>
      <c r="C532" s="14" t="s">
        <v>2197</v>
      </c>
      <c r="D532" s="14" t="s">
        <v>115</v>
      </c>
      <c r="E532" s="14" t="s">
        <v>57</v>
      </c>
      <c r="F532" s="15">
        <v>45365</v>
      </c>
      <c r="G532" s="14" t="s">
        <v>3539</v>
      </c>
      <c r="H532" t="s">
        <v>3523</v>
      </c>
      <c r="I532" s="15"/>
      <c r="J532" s="14"/>
      <c r="K532" s="15"/>
      <c r="M532" s="14"/>
      <c r="N532">
        <v>86</v>
      </c>
    </row>
    <row r="533" spans="1:14" x14ac:dyDescent="0.3">
      <c r="A533">
        <v>532</v>
      </c>
      <c r="B533" s="14" t="s">
        <v>2538</v>
      </c>
      <c r="C533" s="14" t="s">
        <v>333</v>
      </c>
      <c r="D533" s="14" t="s">
        <v>115</v>
      </c>
      <c r="E533" s="14" t="s">
        <v>57</v>
      </c>
      <c r="F533" s="15">
        <v>45361</v>
      </c>
      <c r="G533" s="14" t="s">
        <v>3539</v>
      </c>
      <c r="H533" t="s">
        <v>3523</v>
      </c>
      <c r="I533" s="15"/>
      <c r="J533" s="14"/>
      <c r="K533" s="15"/>
      <c r="M533" s="14"/>
      <c r="N533">
        <v>90</v>
      </c>
    </row>
    <row r="534" spans="1:14" x14ac:dyDescent="0.3">
      <c r="A534">
        <v>533</v>
      </c>
      <c r="B534" s="14" t="s">
        <v>2488</v>
      </c>
      <c r="C534" s="14" t="s">
        <v>296</v>
      </c>
      <c r="D534" s="14" t="s">
        <v>115</v>
      </c>
      <c r="E534" s="14" t="s">
        <v>57</v>
      </c>
      <c r="F534" s="15">
        <v>45344</v>
      </c>
      <c r="G534" s="14" t="s">
        <v>2845</v>
      </c>
      <c r="H534" t="s">
        <v>3523</v>
      </c>
      <c r="I534" s="15"/>
      <c r="J534" s="14"/>
      <c r="K534" s="15"/>
      <c r="M534" s="14"/>
      <c r="N534">
        <v>107</v>
      </c>
    </row>
    <row r="535" spans="1:14" x14ac:dyDescent="0.3">
      <c r="A535">
        <v>534</v>
      </c>
      <c r="B535" s="14" t="s">
        <v>2495</v>
      </c>
      <c r="C535" s="14" t="s">
        <v>303</v>
      </c>
      <c r="D535" s="14" t="s">
        <v>115</v>
      </c>
      <c r="E535" s="14" t="s">
        <v>57</v>
      </c>
      <c r="F535" s="15">
        <v>45348</v>
      </c>
      <c r="G535" s="14" t="s">
        <v>2845</v>
      </c>
      <c r="H535" t="s">
        <v>3500</v>
      </c>
      <c r="I535" s="15">
        <v>45349</v>
      </c>
      <c r="J535" s="14" t="s">
        <v>3521</v>
      </c>
      <c r="K535" s="15"/>
      <c r="M535" s="14" t="s">
        <v>3477</v>
      </c>
      <c r="N535">
        <v>1</v>
      </c>
    </row>
    <row r="536" spans="1:14" x14ac:dyDescent="0.3">
      <c r="A536">
        <v>535</v>
      </c>
      <c r="B536" s="14" t="s">
        <v>2673</v>
      </c>
      <c r="C536" s="14" t="s">
        <v>441</v>
      </c>
      <c r="D536" s="14" t="s">
        <v>115</v>
      </c>
      <c r="E536" s="14" t="s">
        <v>57</v>
      </c>
      <c r="F536" s="15">
        <v>45399</v>
      </c>
      <c r="G536" s="14" t="s">
        <v>3539</v>
      </c>
      <c r="H536" t="s">
        <v>3524</v>
      </c>
      <c r="I536" s="15"/>
      <c r="J536" s="14" t="s">
        <v>3521</v>
      </c>
      <c r="K536" s="15"/>
      <c r="M536" s="14"/>
    </row>
    <row r="537" spans="1:14" x14ac:dyDescent="0.3">
      <c r="A537">
        <v>536</v>
      </c>
      <c r="B537" s="14" t="s">
        <v>2635</v>
      </c>
      <c r="C537" s="14" t="s">
        <v>405</v>
      </c>
      <c r="D537" s="14" t="s">
        <v>115</v>
      </c>
      <c r="E537" s="14" t="s">
        <v>57</v>
      </c>
      <c r="F537" s="15">
        <v>45387</v>
      </c>
      <c r="G537" s="14" t="s">
        <v>3539</v>
      </c>
      <c r="H537" t="s">
        <v>3524</v>
      </c>
      <c r="I537" s="15"/>
      <c r="J537" s="14" t="s">
        <v>3521</v>
      </c>
      <c r="K537" s="15"/>
      <c r="M537" s="14"/>
    </row>
    <row r="538" spans="1:14" x14ac:dyDescent="0.3">
      <c r="A538">
        <v>537</v>
      </c>
      <c r="B538" s="14" t="s">
        <v>2627</v>
      </c>
      <c r="C538" s="14" t="s">
        <v>397</v>
      </c>
      <c r="D538" s="14" t="s">
        <v>115</v>
      </c>
      <c r="E538" s="14" t="s">
        <v>57</v>
      </c>
      <c r="F538" s="15">
        <v>45384</v>
      </c>
      <c r="G538" s="14" t="s">
        <v>2848</v>
      </c>
      <c r="H538" t="s">
        <v>3524</v>
      </c>
      <c r="I538" s="15"/>
      <c r="J538" s="14" t="s">
        <v>3521</v>
      </c>
      <c r="K538" s="15"/>
      <c r="M538" s="14"/>
    </row>
    <row r="539" spans="1:14" x14ac:dyDescent="0.3">
      <c r="A539">
        <v>538</v>
      </c>
      <c r="B539" s="14" t="s">
        <v>2607</v>
      </c>
      <c r="C539" s="14" t="s">
        <v>380</v>
      </c>
      <c r="D539" s="14" t="s">
        <v>117</v>
      </c>
      <c r="E539" s="14" t="s">
        <v>62</v>
      </c>
      <c r="F539" s="15">
        <v>45379</v>
      </c>
      <c r="G539" s="14" t="s">
        <v>2848</v>
      </c>
      <c r="H539" t="s">
        <v>3501</v>
      </c>
      <c r="I539" s="15">
        <v>45391</v>
      </c>
      <c r="J539" s="14" t="s">
        <v>2852</v>
      </c>
      <c r="K539" s="15"/>
      <c r="M539" s="14"/>
      <c r="N539">
        <v>12</v>
      </c>
    </row>
    <row r="540" spans="1:14" x14ac:dyDescent="0.3">
      <c r="A540">
        <v>539</v>
      </c>
      <c r="B540" s="14" t="s">
        <v>2612</v>
      </c>
      <c r="C540" s="14" t="s">
        <v>385</v>
      </c>
      <c r="D540" s="14" t="s">
        <v>117</v>
      </c>
      <c r="E540" s="14" t="s">
        <v>62</v>
      </c>
      <c r="F540" s="15">
        <v>45381</v>
      </c>
      <c r="G540" s="14" t="s">
        <v>2845</v>
      </c>
      <c r="H540" t="s">
        <v>3523</v>
      </c>
      <c r="I540" s="15"/>
      <c r="J540" s="14"/>
      <c r="K540" s="15"/>
      <c r="M540" s="14"/>
      <c r="N540">
        <v>70</v>
      </c>
    </row>
    <row r="541" spans="1:14" x14ac:dyDescent="0.3">
      <c r="A541">
        <v>540</v>
      </c>
      <c r="B541" s="14" t="s">
        <v>2614</v>
      </c>
      <c r="C541" s="14" t="s">
        <v>387</v>
      </c>
      <c r="D541" s="14" t="s">
        <v>117</v>
      </c>
      <c r="E541" s="14" t="s">
        <v>62</v>
      </c>
      <c r="F541" s="15">
        <v>45382</v>
      </c>
      <c r="G541" s="14" t="s">
        <v>2845</v>
      </c>
      <c r="H541" t="s">
        <v>3501</v>
      </c>
      <c r="I541" s="15">
        <v>45391</v>
      </c>
      <c r="J541" s="14" t="s">
        <v>3521</v>
      </c>
      <c r="K541" s="15"/>
      <c r="M541" s="14" t="s">
        <v>3477</v>
      </c>
      <c r="N541">
        <v>9</v>
      </c>
    </row>
    <row r="542" spans="1:14" x14ac:dyDescent="0.3">
      <c r="A542">
        <v>541</v>
      </c>
      <c r="B542" s="14" t="s">
        <v>2611</v>
      </c>
      <c r="C542" s="14" t="s">
        <v>384</v>
      </c>
      <c r="D542" s="14" t="s">
        <v>117</v>
      </c>
      <c r="E542" s="14" t="s">
        <v>62</v>
      </c>
      <c r="F542" s="15">
        <v>45380</v>
      </c>
      <c r="G542" s="14" t="s">
        <v>2848</v>
      </c>
      <c r="H542" t="s">
        <v>3500</v>
      </c>
      <c r="I542" s="15">
        <v>45380</v>
      </c>
      <c r="J542" s="14" t="s">
        <v>3521</v>
      </c>
      <c r="K542" s="15"/>
      <c r="M542" s="14" t="s">
        <v>3477</v>
      </c>
      <c r="N542">
        <v>0</v>
      </c>
    </row>
    <row r="543" spans="1:14" x14ac:dyDescent="0.3">
      <c r="A543">
        <v>542</v>
      </c>
      <c r="B543" s="14" t="s">
        <v>2606</v>
      </c>
      <c r="C543" s="14" t="s">
        <v>379</v>
      </c>
      <c r="D543" s="14" t="s">
        <v>117</v>
      </c>
      <c r="E543" s="14" t="s">
        <v>62</v>
      </c>
      <c r="F543" s="15">
        <v>45378</v>
      </c>
      <c r="G543" s="14" t="s">
        <v>2848</v>
      </c>
      <c r="H543" t="s">
        <v>3500</v>
      </c>
      <c r="I543" s="15">
        <v>45391</v>
      </c>
      <c r="J543" s="14" t="s">
        <v>3521</v>
      </c>
      <c r="K543" s="15"/>
      <c r="M543" s="14" t="s">
        <v>3477</v>
      </c>
      <c r="N543">
        <v>13</v>
      </c>
    </row>
    <row r="544" spans="1:14" x14ac:dyDescent="0.3">
      <c r="A544">
        <v>543</v>
      </c>
      <c r="B544" s="14" t="s">
        <v>2840</v>
      </c>
      <c r="C544" s="14" t="s">
        <v>591</v>
      </c>
      <c r="D544" s="14" t="s">
        <v>119</v>
      </c>
      <c r="E544" s="14" t="s">
        <v>64</v>
      </c>
      <c r="F544" s="15">
        <v>45418</v>
      </c>
      <c r="G544" s="14" t="s">
        <v>2847</v>
      </c>
      <c r="H544" t="s">
        <v>3523</v>
      </c>
      <c r="I544" s="15"/>
      <c r="J544" s="14"/>
      <c r="K544" s="15"/>
      <c r="M544" s="14"/>
      <c r="N544">
        <v>33</v>
      </c>
    </row>
    <row r="545" spans="1:14" x14ac:dyDescent="0.3">
      <c r="A545">
        <v>544</v>
      </c>
      <c r="B545" s="14" t="s">
        <v>2818</v>
      </c>
      <c r="C545" s="14" t="s">
        <v>571</v>
      </c>
      <c r="D545" s="14" t="s">
        <v>119</v>
      </c>
      <c r="E545" s="14" t="s">
        <v>64</v>
      </c>
      <c r="F545" s="15">
        <v>45415</v>
      </c>
      <c r="G545" s="14" t="s">
        <v>3539</v>
      </c>
      <c r="H545" t="s">
        <v>3523</v>
      </c>
      <c r="I545" s="15"/>
      <c r="J545" s="14"/>
      <c r="K545" s="15"/>
      <c r="M545" s="14"/>
      <c r="N545">
        <v>36</v>
      </c>
    </row>
    <row r="546" spans="1:14" x14ac:dyDescent="0.3">
      <c r="A546">
        <v>545</v>
      </c>
      <c r="B546" s="14" t="s">
        <v>2812</v>
      </c>
      <c r="C546" s="14" t="s">
        <v>565</v>
      </c>
      <c r="D546" s="14" t="s">
        <v>119</v>
      </c>
      <c r="E546" s="14" t="s">
        <v>64</v>
      </c>
      <c r="F546" s="15">
        <v>45415</v>
      </c>
      <c r="G546" s="14" t="s">
        <v>2847</v>
      </c>
      <c r="H546" t="s">
        <v>3523</v>
      </c>
      <c r="I546" s="15"/>
      <c r="J546" s="14"/>
      <c r="K546" s="15"/>
      <c r="M546" s="14"/>
      <c r="N546">
        <v>36</v>
      </c>
    </row>
    <row r="547" spans="1:14" x14ac:dyDescent="0.3">
      <c r="A547">
        <v>546</v>
      </c>
      <c r="B547" s="14" t="s">
        <v>2814</v>
      </c>
      <c r="C547" s="14" t="s">
        <v>567</v>
      </c>
      <c r="D547" s="14" t="s">
        <v>119</v>
      </c>
      <c r="E547" s="14" t="s">
        <v>64</v>
      </c>
      <c r="F547" s="15">
        <v>45415</v>
      </c>
      <c r="G547" s="14" t="s">
        <v>2847</v>
      </c>
      <c r="H547" t="s">
        <v>3523</v>
      </c>
      <c r="I547" s="15"/>
      <c r="J547" s="14"/>
      <c r="K547" s="15"/>
      <c r="M547" s="14"/>
      <c r="N547">
        <v>36</v>
      </c>
    </row>
    <row r="548" spans="1:14" x14ac:dyDescent="0.3">
      <c r="A548">
        <v>547</v>
      </c>
      <c r="B548" s="14" t="s">
        <v>2815</v>
      </c>
      <c r="C548" s="14" t="s">
        <v>568</v>
      </c>
      <c r="D548" s="14" t="s">
        <v>119</v>
      </c>
      <c r="E548" s="14" t="s">
        <v>64</v>
      </c>
      <c r="F548" s="15">
        <v>45415</v>
      </c>
      <c r="G548" s="14" t="s">
        <v>2847</v>
      </c>
      <c r="H548" t="s">
        <v>3523</v>
      </c>
      <c r="I548" s="15"/>
      <c r="J548" s="14"/>
      <c r="K548" s="15"/>
      <c r="M548" s="14"/>
      <c r="N548">
        <v>36</v>
      </c>
    </row>
    <row r="549" spans="1:14" x14ac:dyDescent="0.3">
      <c r="A549">
        <v>548</v>
      </c>
      <c r="B549" s="14" t="s">
        <v>2810</v>
      </c>
      <c r="C549" s="14" t="s">
        <v>563</v>
      </c>
      <c r="D549" s="14" t="s">
        <v>119</v>
      </c>
      <c r="E549" s="14" t="s">
        <v>64</v>
      </c>
      <c r="F549" s="15">
        <v>45415</v>
      </c>
      <c r="G549" s="14" t="s">
        <v>2847</v>
      </c>
      <c r="H549" t="s">
        <v>3523</v>
      </c>
      <c r="I549" s="15"/>
      <c r="J549" s="14"/>
      <c r="K549" s="15"/>
      <c r="M549" s="14"/>
      <c r="N549">
        <v>36</v>
      </c>
    </row>
    <row r="550" spans="1:14" x14ac:dyDescent="0.3">
      <c r="A550">
        <v>549</v>
      </c>
      <c r="B550" s="14" t="s">
        <v>2825</v>
      </c>
      <c r="C550" s="14" t="s">
        <v>578</v>
      </c>
      <c r="D550" s="14" t="s">
        <v>119</v>
      </c>
      <c r="E550" s="14" t="s">
        <v>64</v>
      </c>
      <c r="F550" s="15">
        <v>45415</v>
      </c>
      <c r="G550" s="14" t="s">
        <v>2845</v>
      </c>
      <c r="H550" t="s">
        <v>3523</v>
      </c>
      <c r="I550" s="15"/>
      <c r="J550" s="14"/>
      <c r="K550" s="15"/>
      <c r="M550" s="14"/>
      <c r="N550">
        <v>36</v>
      </c>
    </row>
    <row r="551" spans="1:14" x14ac:dyDescent="0.3">
      <c r="A551">
        <v>550</v>
      </c>
      <c r="B551" s="14" t="s">
        <v>2813</v>
      </c>
      <c r="C551" s="14" t="s">
        <v>566</v>
      </c>
      <c r="D551" s="14" t="s">
        <v>119</v>
      </c>
      <c r="E551" s="14" t="s">
        <v>64</v>
      </c>
      <c r="F551" s="15">
        <v>45415</v>
      </c>
      <c r="G551" s="14" t="s">
        <v>2847</v>
      </c>
      <c r="H551" t="s">
        <v>3523</v>
      </c>
      <c r="I551" s="15"/>
      <c r="J551" s="14"/>
      <c r="K551" s="15"/>
      <c r="M551" s="14"/>
      <c r="N551">
        <v>36</v>
      </c>
    </row>
    <row r="552" spans="1:14" x14ac:dyDescent="0.3">
      <c r="A552">
        <v>551</v>
      </c>
      <c r="B552" s="14" t="s">
        <v>2805</v>
      </c>
      <c r="C552" s="14" t="s">
        <v>558</v>
      </c>
      <c r="D552" s="14" t="s">
        <v>119</v>
      </c>
      <c r="E552" s="14" t="s">
        <v>64</v>
      </c>
      <c r="F552" s="15">
        <v>45414</v>
      </c>
      <c r="G552" s="14" t="s">
        <v>2847</v>
      </c>
      <c r="H552" t="s">
        <v>3523</v>
      </c>
      <c r="I552" s="15"/>
      <c r="J552" s="14"/>
      <c r="K552" s="15"/>
      <c r="M552" s="14"/>
      <c r="N552">
        <v>37</v>
      </c>
    </row>
    <row r="553" spans="1:14" x14ac:dyDescent="0.3">
      <c r="A553">
        <v>552</v>
      </c>
      <c r="B553" s="14" t="s">
        <v>2791</v>
      </c>
      <c r="C553" s="14" t="s">
        <v>545</v>
      </c>
      <c r="D553" s="14" t="s">
        <v>119</v>
      </c>
      <c r="E553" s="14" t="s">
        <v>64</v>
      </c>
      <c r="F553" s="15">
        <v>45413</v>
      </c>
      <c r="G553" s="14" t="s">
        <v>2847</v>
      </c>
      <c r="H553" t="s">
        <v>3523</v>
      </c>
      <c r="I553" s="15"/>
      <c r="J553" s="14"/>
      <c r="K553" s="15"/>
      <c r="M553" s="14"/>
      <c r="N553">
        <v>38</v>
      </c>
    </row>
    <row r="554" spans="1:14" x14ac:dyDescent="0.3">
      <c r="A554">
        <v>553</v>
      </c>
      <c r="B554" s="14" t="s">
        <v>2790</v>
      </c>
      <c r="C554" s="14" t="s">
        <v>2219</v>
      </c>
      <c r="D554" s="14" t="s">
        <v>119</v>
      </c>
      <c r="E554" s="14" t="s">
        <v>64</v>
      </c>
      <c r="F554" s="15">
        <v>45412</v>
      </c>
      <c r="G554" s="14" t="s">
        <v>2847</v>
      </c>
      <c r="H554" t="s">
        <v>3523</v>
      </c>
      <c r="I554" s="15"/>
      <c r="J554" s="14"/>
      <c r="K554" s="15"/>
      <c r="M554" s="14"/>
      <c r="N554">
        <v>39</v>
      </c>
    </row>
    <row r="555" spans="1:14" x14ac:dyDescent="0.3">
      <c r="A555">
        <v>554</v>
      </c>
      <c r="B555" s="14" t="s">
        <v>2800</v>
      </c>
      <c r="C555" s="14" t="s">
        <v>553</v>
      </c>
      <c r="D555" s="14" t="s">
        <v>119</v>
      </c>
      <c r="E555" s="14" t="s">
        <v>64</v>
      </c>
      <c r="F555" s="15">
        <v>45412</v>
      </c>
      <c r="G555" s="14" t="s">
        <v>3539</v>
      </c>
      <c r="H555" t="s">
        <v>3523</v>
      </c>
      <c r="I555" s="15"/>
      <c r="J555" s="14"/>
      <c r="K555" s="15"/>
      <c r="M555" s="14"/>
      <c r="N555">
        <v>39</v>
      </c>
    </row>
    <row r="556" spans="1:14" x14ac:dyDescent="0.3">
      <c r="A556">
        <v>555</v>
      </c>
      <c r="B556" s="14" t="s">
        <v>2776</v>
      </c>
      <c r="C556" s="14" t="s">
        <v>531</v>
      </c>
      <c r="D556" s="14" t="s">
        <v>119</v>
      </c>
      <c r="E556" s="14" t="s">
        <v>64</v>
      </c>
      <c r="F556" s="15">
        <v>45409</v>
      </c>
      <c r="G556" s="14" t="s">
        <v>2847</v>
      </c>
      <c r="H556" t="s">
        <v>3523</v>
      </c>
      <c r="I556" s="15"/>
      <c r="J556" s="14"/>
      <c r="K556" s="15"/>
      <c r="M556" s="14"/>
      <c r="N556">
        <v>42</v>
      </c>
    </row>
    <row r="557" spans="1:14" x14ac:dyDescent="0.3">
      <c r="A557">
        <v>556</v>
      </c>
      <c r="B557" s="14" t="s">
        <v>2775</v>
      </c>
      <c r="C557" s="14" t="s">
        <v>530</v>
      </c>
      <c r="D557" s="14" t="s">
        <v>119</v>
      </c>
      <c r="E557" s="14" t="s">
        <v>64</v>
      </c>
      <c r="F557" s="15">
        <v>45409</v>
      </c>
      <c r="G557" s="14" t="s">
        <v>2847</v>
      </c>
      <c r="H557" t="s">
        <v>3523</v>
      </c>
      <c r="I557" s="15"/>
      <c r="J557" s="14"/>
      <c r="K557" s="15"/>
      <c r="M557" s="14"/>
      <c r="N557">
        <v>42</v>
      </c>
    </row>
    <row r="558" spans="1:14" x14ac:dyDescent="0.3">
      <c r="A558">
        <v>557</v>
      </c>
      <c r="B558" s="14" t="s">
        <v>2395</v>
      </c>
      <c r="C558" s="14" t="s">
        <v>2145</v>
      </c>
      <c r="D558" s="14" t="s">
        <v>119</v>
      </c>
      <c r="E558" s="14" t="s">
        <v>64</v>
      </c>
      <c r="F558" s="15">
        <v>45300</v>
      </c>
      <c r="G558" s="14" t="s">
        <v>2847</v>
      </c>
      <c r="H558" t="s">
        <v>3523</v>
      </c>
      <c r="I558" s="15"/>
      <c r="J558" s="14"/>
      <c r="K558" s="15"/>
      <c r="M558" s="14"/>
      <c r="N558">
        <v>151</v>
      </c>
    </row>
    <row r="559" spans="1:14" x14ac:dyDescent="0.3">
      <c r="A559">
        <v>558</v>
      </c>
      <c r="B559" s="14" t="s">
        <v>2376</v>
      </c>
      <c r="C559" s="14" t="s">
        <v>2137</v>
      </c>
      <c r="D559" s="14" t="s">
        <v>119</v>
      </c>
      <c r="E559" s="14" t="s">
        <v>64</v>
      </c>
      <c r="F559" s="15">
        <v>45296</v>
      </c>
      <c r="G559" s="14" t="s">
        <v>2847</v>
      </c>
      <c r="H559" t="s">
        <v>3523</v>
      </c>
      <c r="I559" s="15"/>
      <c r="J559" s="14"/>
      <c r="K559" s="15"/>
      <c r="M559" s="14"/>
      <c r="N559">
        <v>155</v>
      </c>
    </row>
    <row r="560" spans="1:14" x14ac:dyDescent="0.3">
      <c r="A560">
        <v>559</v>
      </c>
      <c r="B560" s="14" t="s">
        <v>2298</v>
      </c>
      <c r="C560" s="14" t="s">
        <v>2109</v>
      </c>
      <c r="D560" s="14" t="s">
        <v>119</v>
      </c>
      <c r="E560" s="14" t="s">
        <v>64</v>
      </c>
      <c r="F560" s="15">
        <v>45261</v>
      </c>
      <c r="G560" s="14" t="s">
        <v>2847</v>
      </c>
      <c r="H560" t="s">
        <v>3523</v>
      </c>
      <c r="I560" s="15"/>
      <c r="J560" s="14"/>
      <c r="K560" s="15"/>
      <c r="M560" s="14"/>
      <c r="N560">
        <v>190</v>
      </c>
    </row>
    <row r="561" spans="1:14" x14ac:dyDescent="0.3">
      <c r="A561">
        <v>560</v>
      </c>
      <c r="B561" s="14" t="s">
        <v>2296</v>
      </c>
      <c r="C561" s="14" t="s">
        <v>180</v>
      </c>
      <c r="D561" s="14" t="s">
        <v>119</v>
      </c>
      <c r="E561" s="14" t="s">
        <v>64</v>
      </c>
      <c r="F561" s="15">
        <v>45261</v>
      </c>
      <c r="G561" s="14" t="s">
        <v>2847</v>
      </c>
      <c r="H561" t="s">
        <v>3523</v>
      </c>
      <c r="I561" s="15"/>
      <c r="J561" s="14"/>
      <c r="K561" s="15"/>
      <c r="M561" s="14"/>
      <c r="N561">
        <v>190</v>
      </c>
    </row>
    <row r="562" spans="1:14" x14ac:dyDescent="0.3">
      <c r="A562">
        <v>561</v>
      </c>
      <c r="B562" s="14" t="s">
        <v>2801</v>
      </c>
      <c r="C562" s="14" t="s">
        <v>554</v>
      </c>
      <c r="D562" s="14" t="s">
        <v>119</v>
      </c>
      <c r="E562" s="14" t="s">
        <v>64</v>
      </c>
      <c r="F562" s="15">
        <v>45412</v>
      </c>
      <c r="G562" s="14" t="s">
        <v>2847</v>
      </c>
      <c r="H562" t="s">
        <v>3524</v>
      </c>
      <c r="I562" s="15"/>
      <c r="J562" s="14" t="s">
        <v>3521</v>
      </c>
      <c r="K562" s="15"/>
      <c r="M562" s="14"/>
    </row>
    <row r="563" spans="1:14" x14ac:dyDescent="0.3">
      <c r="A563">
        <v>562</v>
      </c>
      <c r="B563" s="14" t="s">
        <v>2794</v>
      </c>
      <c r="C563" s="14" t="s">
        <v>548</v>
      </c>
      <c r="D563" s="14" t="s">
        <v>119</v>
      </c>
      <c r="E563" s="14" t="s">
        <v>64</v>
      </c>
      <c r="F563" s="15">
        <v>45412</v>
      </c>
      <c r="G563" s="14" t="s">
        <v>2845</v>
      </c>
      <c r="H563" t="s">
        <v>3524</v>
      </c>
      <c r="I563" s="15"/>
      <c r="J563" s="14" t="s">
        <v>3521</v>
      </c>
      <c r="K563" s="15"/>
      <c r="M563" s="14"/>
    </row>
    <row r="564" spans="1:14" x14ac:dyDescent="0.3">
      <c r="A564">
        <v>563</v>
      </c>
      <c r="B564" s="14" t="s">
        <v>2769</v>
      </c>
      <c r="C564" s="14" t="s">
        <v>527</v>
      </c>
      <c r="D564" s="14" t="s">
        <v>119</v>
      </c>
      <c r="E564" s="14" t="s">
        <v>64</v>
      </c>
      <c r="F564" s="15">
        <v>45407</v>
      </c>
      <c r="G564" s="14" t="s">
        <v>2847</v>
      </c>
      <c r="H564" t="s">
        <v>3524</v>
      </c>
      <c r="I564" s="15"/>
      <c r="J564" s="14" t="s">
        <v>3521</v>
      </c>
      <c r="K564" s="15"/>
      <c r="M564" s="14"/>
    </row>
    <row r="565" spans="1:14" x14ac:dyDescent="0.3">
      <c r="A565">
        <v>564</v>
      </c>
      <c r="B565" s="14" t="s">
        <v>2781</v>
      </c>
      <c r="C565" s="14" t="s">
        <v>536</v>
      </c>
      <c r="D565" s="14" t="s">
        <v>119</v>
      </c>
      <c r="E565" s="14" t="s">
        <v>64</v>
      </c>
      <c r="F565" s="15">
        <v>45411</v>
      </c>
      <c r="G565" s="14" t="s">
        <v>2847</v>
      </c>
      <c r="H565" t="s">
        <v>3524</v>
      </c>
      <c r="I565" s="15"/>
      <c r="J565" s="14" t="s">
        <v>3521</v>
      </c>
      <c r="K565" s="15"/>
      <c r="M565" s="14"/>
    </row>
    <row r="566" spans="1:14" x14ac:dyDescent="0.3">
      <c r="A566">
        <v>565</v>
      </c>
      <c r="B566" s="14" t="s">
        <v>2593</v>
      </c>
      <c r="C566" s="14" t="s">
        <v>371</v>
      </c>
      <c r="D566" s="14" t="s">
        <v>125</v>
      </c>
      <c r="E566" s="14" t="s">
        <v>70</v>
      </c>
      <c r="F566" s="15">
        <v>45373</v>
      </c>
      <c r="G566" s="14" t="s">
        <v>2848</v>
      </c>
      <c r="H566" t="s">
        <v>3523</v>
      </c>
      <c r="I566" s="15"/>
      <c r="J566" s="14"/>
      <c r="K566" s="15"/>
      <c r="M566" s="14"/>
      <c r="N566">
        <v>78</v>
      </c>
    </row>
    <row r="567" spans="1:14" x14ac:dyDescent="0.3">
      <c r="A567">
        <v>566</v>
      </c>
      <c r="B567" s="14" t="s">
        <v>2532</v>
      </c>
      <c r="C567" s="14" t="s">
        <v>327</v>
      </c>
      <c r="D567" s="14" t="s">
        <v>125</v>
      </c>
      <c r="E567" s="14" t="s">
        <v>70</v>
      </c>
      <c r="F567" s="15">
        <v>45357</v>
      </c>
      <c r="G567" s="14" t="s">
        <v>2848</v>
      </c>
      <c r="H567" t="s">
        <v>3523</v>
      </c>
      <c r="I567" s="15"/>
      <c r="J567" s="14"/>
      <c r="K567" s="15"/>
      <c r="M567" s="14"/>
      <c r="N567">
        <v>94</v>
      </c>
    </row>
    <row r="568" spans="1:14" x14ac:dyDescent="0.3">
      <c r="A568">
        <v>567</v>
      </c>
      <c r="B568" s="14" t="s">
        <v>2241</v>
      </c>
      <c r="C568" s="14" t="s">
        <v>142</v>
      </c>
      <c r="D568" s="14" t="s">
        <v>125</v>
      </c>
      <c r="E568" s="14" t="s">
        <v>70</v>
      </c>
      <c r="F568" s="15">
        <v>45261</v>
      </c>
      <c r="G568" s="14" t="s">
        <v>2849</v>
      </c>
      <c r="H568" t="s">
        <v>3523</v>
      </c>
      <c r="I568" s="15"/>
      <c r="J568" s="14"/>
      <c r="K568" s="15"/>
      <c r="M568" s="14"/>
      <c r="N568">
        <v>190</v>
      </c>
    </row>
    <row r="569" spans="1:14" x14ac:dyDescent="0.3">
      <c r="A569">
        <v>568</v>
      </c>
      <c r="B569" s="14" t="s">
        <v>2311</v>
      </c>
      <c r="C569" s="14" t="s">
        <v>193</v>
      </c>
      <c r="D569" s="14" t="s">
        <v>125</v>
      </c>
      <c r="E569" s="14" t="s">
        <v>70</v>
      </c>
      <c r="F569" s="15">
        <v>45261</v>
      </c>
      <c r="G569" s="14" t="s">
        <v>2848</v>
      </c>
      <c r="H569" t="s">
        <v>3523</v>
      </c>
      <c r="I569" s="15"/>
      <c r="J569" s="14"/>
      <c r="K569" s="15"/>
      <c r="M569" s="14"/>
      <c r="N569">
        <v>190</v>
      </c>
    </row>
    <row r="570" spans="1:14" x14ac:dyDescent="0.3">
      <c r="A570">
        <v>569</v>
      </c>
      <c r="B570" s="14" t="s">
        <v>2224</v>
      </c>
      <c r="C570" s="14" t="s">
        <v>135</v>
      </c>
      <c r="D570" s="14" t="s">
        <v>125</v>
      </c>
      <c r="E570" s="14" t="s">
        <v>70</v>
      </c>
      <c r="F570" s="15">
        <v>45261</v>
      </c>
      <c r="G570" s="14" t="s">
        <v>2847</v>
      </c>
      <c r="H570" t="s">
        <v>3523</v>
      </c>
      <c r="I570" s="15"/>
      <c r="J570" s="14"/>
      <c r="K570" s="15"/>
      <c r="M570" s="14"/>
      <c r="N570">
        <v>190</v>
      </c>
    </row>
    <row r="571" spans="1:14" x14ac:dyDescent="0.3">
      <c r="A571">
        <v>570</v>
      </c>
      <c r="B571" s="14" t="s">
        <v>2238</v>
      </c>
      <c r="C571" s="14" t="s">
        <v>139</v>
      </c>
      <c r="D571" s="14" t="s">
        <v>125</v>
      </c>
      <c r="E571" s="14" t="s">
        <v>70</v>
      </c>
      <c r="F571" s="15">
        <v>45261</v>
      </c>
      <c r="G571" s="14" t="s">
        <v>2849</v>
      </c>
      <c r="H571" t="s">
        <v>3523</v>
      </c>
      <c r="I571" s="15"/>
      <c r="J571" s="14"/>
      <c r="K571" s="15"/>
      <c r="M571" s="14"/>
      <c r="N571">
        <v>190</v>
      </c>
    </row>
    <row r="572" spans="1:14" x14ac:dyDescent="0.3">
      <c r="A572">
        <v>571</v>
      </c>
      <c r="B572" s="14" t="s">
        <v>2295</v>
      </c>
      <c r="C572" s="14" t="s">
        <v>179</v>
      </c>
      <c r="D572" s="14" t="s">
        <v>125</v>
      </c>
      <c r="E572" s="14" t="s">
        <v>70</v>
      </c>
      <c r="F572" s="15">
        <v>45261</v>
      </c>
      <c r="G572" s="14" t="s">
        <v>2848</v>
      </c>
      <c r="H572" t="s">
        <v>3523</v>
      </c>
      <c r="I572" s="15"/>
      <c r="J572" s="14"/>
      <c r="K572" s="15"/>
      <c r="M572" s="14"/>
      <c r="N572">
        <v>190</v>
      </c>
    </row>
    <row r="573" spans="1:14" x14ac:dyDescent="0.3">
      <c r="A573">
        <v>572</v>
      </c>
      <c r="B573" s="14" t="s">
        <v>2233</v>
      </c>
      <c r="C573" s="14" t="s">
        <v>2091</v>
      </c>
      <c r="D573" s="14" t="s">
        <v>125</v>
      </c>
      <c r="E573" s="14" t="s">
        <v>70</v>
      </c>
      <c r="F573" s="15">
        <v>45292</v>
      </c>
      <c r="G573" s="14" t="s">
        <v>2848</v>
      </c>
      <c r="H573" t="s">
        <v>3524</v>
      </c>
      <c r="I573" s="15"/>
      <c r="J573" s="14" t="s">
        <v>3521</v>
      </c>
      <c r="K573" s="15"/>
      <c r="M573" s="14"/>
    </row>
    <row r="574" spans="1:14" x14ac:dyDescent="0.3">
      <c r="A574">
        <v>573</v>
      </c>
      <c r="B574" s="14" t="s">
        <v>2795</v>
      </c>
      <c r="C574" s="14" t="s">
        <v>549</v>
      </c>
      <c r="D574" s="14" t="s">
        <v>126</v>
      </c>
      <c r="E574" s="14" t="s">
        <v>72</v>
      </c>
      <c r="F574" s="15">
        <v>45412</v>
      </c>
      <c r="G574" s="14" t="s">
        <v>2845</v>
      </c>
      <c r="H574" t="s">
        <v>3500</v>
      </c>
      <c r="I574" s="15">
        <v>45416</v>
      </c>
      <c r="J574" s="14" t="s">
        <v>2852</v>
      </c>
      <c r="K574" s="15"/>
      <c r="M574" s="14"/>
      <c r="N574">
        <v>4</v>
      </c>
    </row>
    <row r="575" spans="1:14" x14ac:dyDescent="0.3">
      <c r="A575">
        <v>574</v>
      </c>
      <c r="B575" s="14" t="s">
        <v>2715</v>
      </c>
      <c r="C575" s="14" t="s">
        <v>477</v>
      </c>
      <c r="D575" s="14" t="s">
        <v>126</v>
      </c>
      <c r="E575" s="14" t="s">
        <v>72</v>
      </c>
      <c r="F575" s="15">
        <v>45405</v>
      </c>
      <c r="G575" s="14" t="s">
        <v>2845</v>
      </c>
      <c r="H575" t="s">
        <v>3500</v>
      </c>
      <c r="I575" s="15">
        <v>45407</v>
      </c>
      <c r="J575" s="14"/>
      <c r="K575" s="15"/>
      <c r="M575" s="14"/>
      <c r="N575">
        <v>46</v>
      </c>
    </row>
    <row r="576" spans="1:14" x14ac:dyDescent="0.3">
      <c r="A576">
        <v>575</v>
      </c>
      <c r="B576" s="14" t="s">
        <v>2616</v>
      </c>
      <c r="C576" s="14" t="s">
        <v>389</v>
      </c>
      <c r="D576" s="14" t="s">
        <v>126</v>
      </c>
      <c r="E576" s="14" t="s">
        <v>72</v>
      </c>
      <c r="F576" s="15">
        <v>45383</v>
      </c>
      <c r="G576" s="14" t="s">
        <v>2847</v>
      </c>
      <c r="H576" t="s">
        <v>3500</v>
      </c>
      <c r="I576" s="15">
        <v>45385</v>
      </c>
      <c r="J576" s="14"/>
      <c r="K576" s="15"/>
      <c r="M576" s="14"/>
      <c r="N576">
        <v>68</v>
      </c>
    </row>
    <row r="577" spans="1:14" x14ac:dyDescent="0.3">
      <c r="A577">
        <v>576</v>
      </c>
      <c r="B577" s="14" t="s">
        <v>2424</v>
      </c>
      <c r="C577" s="14" t="s">
        <v>250</v>
      </c>
      <c r="D577" s="14" t="s">
        <v>126</v>
      </c>
      <c r="E577" s="14" t="s">
        <v>72</v>
      </c>
      <c r="F577" s="15">
        <v>45310</v>
      </c>
      <c r="G577" s="14" t="s">
        <v>2845</v>
      </c>
      <c r="H577" t="s">
        <v>3500</v>
      </c>
      <c r="I577" s="15">
        <v>45323</v>
      </c>
      <c r="J577" s="14"/>
      <c r="K577" s="15"/>
      <c r="L577" t="s">
        <v>2851</v>
      </c>
      <c r="M577" s="14"/>
      <c r="N577">
        <v>141</v>
      </c>
    </row>
    <row r="578" spans="1:14" x14ac:dyDescent="0.3">
      <c r="A578">
        <v>577</v>
      </c>
      <c r="B578" s="14" t="s">
        <v>2726</v>
      </c>
      <c r="C578" s="14" t="s">
        <v>487</v>
      </c>
      <c r="D578" s="14" t="s">
        <v>126</v>
      </c>
      <c r="E578" s="14" t="s">
        <v>72</v>
      </c>
      <c r="F578" s="15">
        <v>45405</v>
      </c>
      <c r="G578" s="14" t="s">
        <v>3539</v>
      </c>
      <c r="H578" t="s">
        <v>3524</v>
      </c>
      <c r="I578" s="15"/>
      <c r="J578" s="14"/>
      <c r="K578" s="15"/>
      <c r="M578" s="14"/>
      <c r="N578">
        <v>46</v>
      </c>
    </row>
    <row r="579" spans="1:14" x14ac:dyDescent="0.3">
      <c r="A579">
        <v>578</v>
      </c>
      <c r="B579" s="14" t="s">
        <v>2251</v>
      </c>
      <c r="C579" s="14" t="s">
        <v>148</v>
      </c>
      <c r="D579" s="14" t="s">
        <v>126</v>
      </c>
      <c r="E579" s="14" t="s">
        <v>72</v>
      </c>
      <c r="F579" s="15">
        <v>45261</v>
      </c>
      <c r="G579" s="14" t="s">
        <v>2848</v>
      </c>
      <c r="H579" t="s">
        <v>3524</v>
      </c>
      <c r="I579" s="15"/>
      <c r="J579" s="14"/>
      <c r="K579" s="15"/>
      <c r="M579" s="14"/>
      <c r="N579">
        <v>190</v>
      </c>
    </row>
    <row r="580" spans="1:14" x14ac:dyDescent="0.3">
      <c r="A580">
        <v>579</v>
      </c>
      <c r="B580" s="14" t="s">
        <v>2268</v>
      </c>
      <c r="C580" s="14" t="s">
        <v>2101</v>
      </c>
      <c r="D580" s="14" t="s">
        <v>126</v>
      </c>
      <c r="E580" s="14" t="s">
        <v>72</v>
      </c>
      <c r="F580" s="15">
        <v>45261</v>
      </c>
      <c r="G580" s="14" t="s">
        <v>2848</v>
      </c>
      <c r="H580" t="s">
        <v>3524</v>
      </c>
      <c r="I580" s="15"/>
      <c r="J580" s="14"/>
      <c r="K580" s="15"/>
      <c r="M580" s="14"/>
      <c r="N580">
        <v>190</v>
      </c>
    </row>
    <row r="581" spans="1:14" x14ac:dyDescent="0.3">
      <c r="A581">
        <v>580</v>
      </c>
      <c r="B581" s="14" t="s">
        <v>2829</v>
      </c>
      <c r="C581" s="14" t="s">
        <v>582</v>
      </c>
      <c r="D581" s="14" t="s">
        <v>126</v>
      </c>
      <c r="E581" s="14" t="s">
        <v>72</v>
      </c>
      <c r="F581" s="15">
        <v>45418</v>
      </c>
      <c r="G581" s="14" t="s">
        <v>3539</v>
      </c>
      <c r="H581" t="s">
        <v>3523</v>
      </c>
      <c r="I581" s="15"/>
      <c r="J581" s="14"/>
      <c r="K581" s="15"/>
      <c r="M581" s="14"/>
      <c r="N581">
        <v>33</v>
      </c>
    </row>
    <row r="582" spans="1:14" x14ac:dyDescent="0.3">
      <c r="A582">
        <v>581</v>
      </c>
      <c r="B582" s="14" t="s">
        <v>2835</v>
      </c>
      <c r="C582" s="14" t="s">
        <v>587</v>
      </c>
      <c r="D582" s="14" t="s">
        <v>126</v>
      </c>
      <c r="E582" s="14" t="s">
        <v>72</v>
      </c>
      <c r="F582" s="15">
        <v>45418</v>
      </c>
      <c r="G582" s="14" t="s">
        <v>3539</v>
      </c>
      <c r="H582" t="s">
        <v>3523</v>
      </c>
      <c r="I582" s="15"/>
      <c r="J582" s="14"/>
      <c r="K582" s="15"/>
      <c r="M582" s="14"/>
      <c r="N582">
        <v>33</v>
      </c>
    </row>
    <row r="583" spans="1:14" x14ac:dyDescent="0.3">
      <c r="A583">
        <v>582</v>
      </c>
      <c r="B583" s="14" t="s">
        <v>2836</v>
      </c>
      <c r="C583" s="14" t="s">
        <v>588</v>
      </c>
      <c r="D583" s="14" t="s">
        <v>126</v>
      </c>
      <c r="E583" s="14" t="s">
        <v>72</v>
      </c>
      <c r="F583" s="15">
        <v>45418</v>
      </c>
      <c r="G583" s="14" t="s">
        <v>3539</v>
      </c>
      <c r="H583" t="s">
        <v>3523</v>
      </c>
      <c r="I583" s="15"/>
      <c r="J583" s="14"/>
      <c r="K583" s="15"/>
      <c r="M583" s="14"/>
      <c r="N583">
        <v>33</v>
      </c>
    </row>
    <row r="584" spans="1:14" x14ac:dyDescent="0.3">
      <c r="A584">
        <v>583</v>
      </c>
      <c r="B584" s="14" t="s">
        <v>2833</v>
      </c>
      <c r="C584" s="14" t="s">
        <v>585</v>
      </c>
      <c r="D584" s="14" t="s">
        <v>126</v>
      </c>
      <c r="E584" s="14" t="s">
        <v>72</v>
      </c>
      <c r="F584" s="15">
        <v>45417</v>
      </c>
      <c r="G584" s="14" t="s">
        <v>3539</v>
      </c>
      <c r="H584" t="s">
        <v>3523</v>
      </c>
      <c r="I584" s="15"/>
      <c r="J584" s="14"/>
      <c r="K584" s="15"/>
      <c r="M584" s="14"/>
      <c r="N584">
        <v>34</v>
      </c>
    </row>
    <row r="585" spans="1:14" x14ac:dyDescent="0.3">
      <c r="A585">
        <v>584</v>
      </c>
      <c r="B585" s="14" t="s">
        <v>2830</v>
      </c>
      <c r="C585" s="14" t="s">
        <v>583</v>
      </c>
      <c r="D585" s="14" t="s">
        <v>126</v>
      </c>
      <c r="E585" s="14" t="s">
        <v>72</v>
      </c>
      <c r="F585" s="15">
        <v>45416</v>
      </c>
      <c r="G585" s="14" t="s">
        <v>3539</v>
      </c>
      <c r="H585" t="s">
        <v>3523</v>
      </c>
      <c r="I585" s="15"/>
      <c r="J585" s="14"/>
      <c r="K585" s="15"/>
      <c r="M585" s="14"/>
      <c r="N585">
        <v>35</v>
      </c>
    </row>
    <row r="586" spans="1:14" x14ac:dyDescent="0.3">
      <c r="A586">
        <v>585</v>
      </c>
      <c r="B586" s="14" t="s">
        <v>2827</v>
      </c>
      <c r="C586" s="14" t="s">
        <v>580</v>
      </c>
      <c r="D586" s="14" t="s">
        <v>126</v>
      </c>
      <c r="E586" s="14" t="s">
        <v>72</v>
      </c>
      <c r="F586" s="15">
        <v>45416</v>
      </c>
      <c r="G586" s="14" t="s">
        <v>3539</v>
      </c>
      <c r="H586" t="s">
        <v>3523</v>
      </c>
      <c r="I586" s="15"/>
      <c r="J586" s="14"/>
      <c r="K586" s="15"/>
      <c r="M586" s="14"/>
      <c r="N586">
        <v>35</v>
      </c>
    </row>
    <row r="587" spans="1:14" x14ac:dyDescent="0.3">
      <c r="A587">
        <v>586</v>
      </c>
      <c r="B587" s="14" t="s">
        <v>2823</v>
      </c>
      <c r="C587" s="14" t="s">
        <v>576</v>
      </c>
      <c r="D587" s="14" t="s">
        <v>126</v>
      </c>
      <c r="E587" s="14" t="s">
        <v>72</v>
      </c>
      <c r="F587" s="15">
        <v>45415</v>
      </c>
      <c r="G587" s="14" t="s">
        <v>3539</v>
      </c>
      <c r="H587" t="s">
        <v>3523</v>
      </c>
      <c r="I587" s="15"/>
      <c r="J587" s="14"/>
      <c r="K587" s="15"/>
      <c r="M587" s="14"/>
      <c r="N587">
        <v>36</v>
      </c>
    </row>
    <row r="588" spans="1:14" x14ac:dyDescent="0.3">
      <c r="A588">
        <v>587</v>
      </c>
      <c r="B588" s="14" t="s">
        <v>2822</v>
      </c>
      <c r="C588" s="14" t="s">
        <v>575</v>
      </c>
      <c r="D588" s="14" t="s">
        <v>126</v>
      </c>
      <c r="E588" s="14" t="s">
        <v>72</v>
      </c>
      <c r="F588" s="15">
        <v>45415</v>
      </c>
      <c r="G588" s="14" t="s">
        <v>3539</v>
      </c>
      <c r="H588" t="s">
        <v>3523</v>
      </c>
      <c r="I588" s="15"/>
      <c r="J588" s="14"/>
      <c r="K588" s="15"/>
      <c r="M588" s="14"/>
      <c r="N588">
        <v>36</v>
      </c>
    </row>
    <row r="589" spans="1:14" x14ac:dyDescent="0.3">
      <c r="A589">
        <v>588</v>
      </c>
      <c r="B589" s="14" t="s">
        <v>2820</v>
      </c>
      <c r="C589" s="14" t="s">
        <v>573</v>
      </c>
      <c r="D589" s="14" t="s">
        <v>126</v>
      </c>
      <c r="E589" s="14" t="s">
        <v>72</v>
      </c>
      <c r="F589" s="15">
        <v>45415</v>
      </c>
      <c r="G589" s="14" t="s">
        <v>3539</v>
      </c>
      <c r="H589" t="s">
        <v>3523</v>
      </c>
      <c r="I589" s="15"/>
      <c r="J589" s="14"/>
      <c r="K589" s="15"/>
      <c r="M589" s="14"/>
      <c r="N589">
        <v>36</v>
      </c>
    </row>
    <row r="590" spans="1:14" x14ac:dyDescent="0.3">
      <c r="A590">
        <v>589</v>
      </c>
      <c r="B590" s="14" t="s">
        <v>2752</v>
      </c>
      <c r="C590" s="14" t="s">
        <v>511</v>
      </c>
      <c r="D590" s="14" t="s">
        <v>126</v>
      </c>
      <c r="E590" s="14" t="s">
        <v>72</v>
      </c>
      <c r="F590" s="15">
        <v>45406</v>
      </c>
      <c r="G590" s="14" t="s">
        <v>2847</v>
      </c>
      <c r="H590" t="s">
        <v>3523</v>
      </c>
      <c r="I590" s="15"/>
      <c r="J590" s="14"/>
      <c r="K590" s="15"/>
      <c r="M590" s="14"/>
      <c r="N590">
        <v>45</v>
      </c>
    </row>
    <row r="591" spans="1:14" x14ac:dyDescent="0.3">
      <c r="A591">
        <v>590</v>
      </c>
      <c r="B591" s="14" t="s">
        <v>2664</v>
      </c>
      <c r="C591" s="14" t="s">
        <v>432</v>
      </c>
      <c r="D591" s="14" t="s">
        <v>126</v>
      </c>
      <c r="E591" s="14" t="s">
        <v>72</v>
      </c>
      <c r="F591" s="15">
        <v>45390</v>
      </c>
      <c r="G591" s="14" t="s">
        <v>3539</v>
      </c>
      <c r="H591" t="s">
        <v>3523</v>
      </c>
      <c r="I591" s="15"/>
      <c r="J591" s="14"/>
      <c r="K591" s="15"/>
      <c r="M591" s="14"/>
      <c r="N591">
        <v>61</v>
      </c>
    </row>
    <row r="592" spans="1:14" x14ac:dyDescent="0.3">
      <c r="A592">
        <v>591</v>
      </c>
      <c r="B592" s="14" t="s">
        <v>2645</v>
      </c>
      <c r="C592" s="14" t="s">
        <v>413</v>
      </c>
      <c r="D592" s="14" t="s">
        <v>126</v>
      </c>
      <c r="E592" s="14" t="s">
        <v>72</v>
      </c>
      <c r="F592" s="15">
        <v>45388</v>
      </c>
      <c r="G592" s="14" t="s">
        <v>2847</v>
      </c>
      <c r="H592" t="s">
        <v>3523</v>
      </c>
      <c r="I592" s="15"/>
      <c r="J592" s="14"/>
      <c r="K592" s="15"/>
      <c r="M592" s="14"/>
      <c r="N592">
        <v>63</v>
      </c>
    </row>
    <row r="593" spans="1:14" x14ac:dyDescent="0.3">
      <c r="A593">
        <v>592</v>
      </c>
      <c r="B593" s="14" t="s">
        <v>2618</v>
      </c>
      <c r="C593" s="14" t="s">
        <v>390</v>
      </c>
      <c r="D593" s="14" t="s">
        <v>126</v>
      </c>
      <c r="E593" s="14" t="s">
        <v>72</v>
      </c>
      <c r="F593" s="15">
        <v>45383</v>
      </c>
      <c r="G593" s="14" t="s">
        <v>2847</v>
      </c>
      <c r="H593" t="s">
        <v>3523</v>
      </c>
      <c r="I593" s="15"/>
      <c r="J593" s="14"/>
      <c r="K593" s="15"/>
      <c r="M593" s="14"/>
      <c r="N593">
        <v>68</v>
      </c>
    </row>
    <row r="594" spans="1:14" x14ac:dyDescent="0.3">
      <c r="A594">
        <v>593</v>
      </c>
      <c r="B594" s="14" t="s">
        <v>2613</v>
      </c>
      <c r="C594" s="14" t="s">
        <v>386</v>
      </c>
      <c r="D594" s="14" t="s">
        <v>126</v>
      </c>
      <c r="E594" s="14" t="s">
        <v>72</v>
      </c>
      <c r="F594" s="15">
        <v>45382</v>
      </c>
      <c r="G594" s="14" t="s">
        <v>3539</v>
      </c>
      <c r="H594" t="s">
        <v>3523</v>
      </c>
      <c r="I594" s="15"/>
      <c r="J594" s="14"/>
      <c r="K594" s="15"/>
      <c r="M594" s="14"/>
      <c r="N594">
        <v>69</v>
      </c>
    </row>
    <row r="595" spans="1:14" x14ac:dyDescent="0.3">
      <c r="A595">
        <v>594</v>
      </c>
      <c r="B595" s="14" t="s">
        <v>2610</v>
      </c>
      <c r="C595" s="14" t="s">
        <v>383</v>
      </c>
      <c r="D595" s="14" t="s">
        <v>126</v>
      </c>
      <c r="E595" s="14" t="s">
        <v>72</v>
      </c>
      <c r="F595" s="15">
        <v>45379</v>
      </c>
      <c r="G595" s="14" t="s">
        <v>3539</v>
      </c>
      <c r="H595" t="s">
        <v>3523</v>
      </c>
      <c r="I595" s="15"/>
      <c r="J595" s="14"/>
      <c r="K595" s="15"/>
      <c r="M595" s="14"/>
      <c r="N595">
        <v>72</v>
      </c>
    </row>
    <row r="596" spans="1:14" x14ac:dyDescent="0.3">
      <c r="A596">
        <v>595</v>
      </c>
      <c r="B596" s="14" t="s">
        <v>2517</v>
      </c>
      <c r="C596" s="14" t="s">
        <v>511</v>
      </c>
      <c r="D596" s="14" t="s">
        <v>126</v>
      </c>
      <c r="E596" s="14" t="s">
        <v>72</v>
      </c>
      <c r="F596" s="15">
        <v>45352</v>
      </c>
      <c r="G596" s="14" t="s">
        <v>2846</v>
      </c>
      <c r="H596" t="s">
        <v>3523</v>
      </c>
      <c r="I596" s="15"/>
      <c r="J596" s="14"/>
      <c r="K596" s="15"/>
      <c r="M596" s="14"/>
      <c r="N596">
        <v>99</v>
      </c>
    </row>
    <row r="597" spans="1:14" x14ac:dyDescent="0.3">
      <c r="A597">
        <v>596</v>
      </c>
      <c r="B597" s="14" t="s">
        <v>2493</v>
      </c>
      <c r="C597" s="14" t="s">
        <v>301</v>
      </c>
      <c r="D597" s="14" t="s">
        <v>126</v>
      </c>
      <c r="E597" s="14" t="s">
        <v>72</v>
      </c>
      <c r="F597" s="15">
        <v>45346</v>
      </c>
      <c r="G597" s="14" t="s">
        <v>2846</v>
      </c>
      <c r="H597" t="s">
        <v>3523</v>
      </c>
      <c r="I597" s="15"/>
      <c r="J597" s="14"/>
      <c r="K597" s="15"/>
      <c r="M597" s="14"/>
      <c r="N597">
        <v>105</v>
      </c>
    </row>
    <row r="598" spans="1:14" x14ac:dyDescent="0.3">
      <c r="A598">
        <v>597</v>
      </c>
      <c r="B598" s="14" t="s">
        <v>2452</v>
      </c>
      <c r="C598" s="14" t="s">
        <v>2179</v>
      </c>
      <c r="D598" s="14" t="s">
        <v>126</v>
      </c>
      <c r="E598" s="14" t="s">
        <v>72</v>
      </c>
      <c r="F598" s="15">
        <v>45321</v>
      </c>
      <c r="G598" s="14" t="s">
        <v>2847</v>
      </c>
      <c r="H598" t="s">
        <v>3523</v>
      </c>
      <c r="I598" s="15"/>
      <c r="J598" s="14"/>
      <c r="K598" s="15"/>
      <c r="M598" s="14"/>
      <c r="N598">
        <v>130</v>
      </c>
    </row>
    <row r="599" spans="1:14" x14ac:dyDescent="0.3">
      <c r="A599">
        <v>598</v>
      </c>
      <c r="B599" s="14" t="s">
        <v>2423</v>
      </c>
      <c r="C599" s="14" t="s">
        <v>2164</v>
      </c>
      <c r="D599" s="14" t="s">
        <v>126</v>
      </c>
      <c r="E599" s="14" t="s">
        <v>72</v>
      </c>
      <c r="F599" s="15">
        <v>45310</v>
      </c>
      <c r="G599" s="14" t="s">
        <v>2847</v>
      </c>
      <c r="H599" t="s">
        <v>3523</v>
      </c>
      <c r="I599" s="15"/>
      <c r="J599" s="14"/>
      <c r="K599" s="15"/>
      <c r="M599" s="14"/>
      <c r="N599">
        <v>141</v>
      </c>
    </row>
    <row r="600" spans="1:14" x14ac:dyDescent="0.3">
      <c r="A600">
        <v>599</v>
      </c>
      <c r="B600" s="14" t="s">
        <v>2394</v>
      </c>
      <c r="C600" s="14" t="s">
        <v>2144</v>
      </c>
      <c r="D600" s="14" t="s">
        <v>126</v>
      </c>
      <c r="E600" s="14" t="s">
        <v>72</v>
      </c>
      <c r="F600" s="15">
        <v>45300</v>
      </c>
      <c r="G600" s="14" t="s">
        <v>2847</v>
      </c>
      <c r="H600" t="s">
        <v>3523</v>
      </c>
      <c r="I600" s="15"/>
      <c r="J600" s="14"/>
      <c r="K600" s="15"/>
      <c r="M600" s="14"/>
      <c r="N600">
        <v>151</v>
      </c>
    </row>
    <row r="601" spans="1:14" x14ac:dyDescent="0.3">
      <c r="A601">
        <v>600</v>
      </c>
      <c r="B601" s="14" t="s">
        <v>2377</v>
      </c>
      <c r="C601" s="14" t="s">
        <v>230</v>
      </c>
      <c r="D601" s="14" t="s">
        <v>126</v>
      </c>
      <c r="E601" s="14" t="s">
        <v>72</v>
      </c>
      <c r="F601" s="15">
        <v>45296</v>
      </c>
      <c r="G601" s="14" t="s">
        <v>2847</v>
      </c>
      <c r="H601" t="s">
        <v>3523</v>
      </c>
      <c r="I601" s="15"/>
      <c r="J601" s="14"/>
      <c r="K601" s="15"/>
      <c r="M601" s="14"/>
      <c r="N601">
        <v>155</v>
      </c>
    </row>
    <row r="602" spans="1:14" x14ac:dyDescent="0.3">
      <c r="A602">
        <v>601</v>
      </c>
      <c r="B602" s="14" t="s">
        <v>2358</v>
      </c>
      <c r="C602" s="14" t="s">
        <v>223</v>
      </c>
      <c r="D602" s="14" t="s">
        <v>126</v>
      </c>
      <c r="E602" s="14" t="s">
        <v>72</v>
      </c>
      <c r="F602" s="15">
        <v>45294</v>
      </c>
      <c r="G602" s="14" t="s">
        <v>2847</v>
      </c>
      <c r="H602" t="s">
        <v>3523</v>
      </c>
      <c r="I602" s="15"/>
      <c r="J602" s="14"/>
      <c r="K602" s="15"/>
      <c r="M602" s="14"/>
      <c r="N602">
        <v>157</v>
      </c>
    </row>
    <row r="603" spans="1:14" x14ac:dyDescent="0.3">
      <c r="A603">
        <v>602</v>
      </c>
      <c r="B603" s="14" t="s">
        <v>2236</v>
      </c>
      <c r="C603" s="14" t="s">
        <v>138</v>
      </c>
      <c r="D603" s="14" t="s">
        <v>126</v>
      </c>
      <c r="E603" s="14" t="s">
        <v>72</v>
      </c>
      <c r="F603" s="15">
        <v>45261</v>
      </c>
      <c r="G603" s="14" t="s">
        <v>2849</v>
      </c>
      <c r="H603" t="s">
        <v>3523</v>
      </c>
      <c r="I603" s="15"/>
      <c r="J603" s="14"/>
      <c r="K603" s="15"/>
      <c r="M603" s="14"/>
      <c r="N603">
        <v>190</v>
      </c>
    </row>
    <row r="604" spans="1:14" x14ac:dyDescent="0.3">
      <c r="A604">
        <v>603</v>
      </c>
      <c r="B604" s="14" t="s">
        <v>2227</v>
      </c>
      <c r="C604" s="14" t="s">
        <v>131</v>
      </c>
      <c r="D604" s="14" t="s">
        <v>126</v>
      </c>
      <c r="E604" s="14" t="s">
        <v>72</v>
      </c>
      <c r="F604" s="15">
        <v>45261</v>
      </c>
      <c r="G604" s="14" t="s">
        <v>2847</v>
      </c>
      <c r="H604" t="s">
        <v>3523</v>
      </c>
      <c r="I604" s="15"/>
      <c r="J604" s="14"/>
      <c r="K604" s="15"/>
      <c r="M604" s="14"/>
      <c r="N604">
        <v>190</v>
      </c>
    </row>
    <row r="605" spans="1:14" x14ac:dyDescent="0.3">
      <c r="A605">
        <v>604</v>
      </c>
      <c r="B605" s="14" t="s">
        <v>2304</v>
      </c>
      <c r="C605" s="14" t="s">
        <v>187</v>
      </c>
      <c r="D605" s="14" t="s">
        <v>126</v>
      </c>
      <c r="E605" s="14" t="s">
        <v>72</v>
      </c>
      <c r="F605" s="15">
        <v>45261</v>
      </c>
      <c r="G605" s="14" t="s">
        <v>2847</v>
      </c>
      <c r="H605" t="s">
        <v>3523</v>
      </c>
      <c r="I605" s="15"/>
      <c r="J605" s="14"/>
      <c r="K605" s="15"/>
      <c r="M605" s="14"/>
      <c r="N605">
        <v>190</v>
      </c>
    </row>
    <row r="606" spans="1:14" x14ac:dyDescent="0.3">
      <c r="A606">
        <v>605</v>
      </c>
      <c r="B606" s="14" t="s">
        <v>2302</v>
      </c>
      <c r="C606" s="14" t="s">
        <v>185</v>
      </c>
      <c r="D606" s="14" t="s">
        <v>126</v>
      </c>
      <c r="E606" s="14" t="s">
        <v>72</v>
      </c>
      <c r="F606" s="15">
        <v>45261</v>
      </c>
      <c r="G606" s="14" t="s">
        <v>2847</v>
      </c>
      <c r="H606" t="s">
        <v>3523</v>
      </c>
      <c r="I606" s="15"/>
      <c r="J606" s="14"/>
      <c r="K606" s="15"/>
      <c r="M606" s="14"/>
      <c r="N606">
        <v>190</v>
      </c>
    </row>
    <row r="607" spans="1:14" x14ac:dyDescent="0.3">
      <c r="A607">
        <v>606</v>
      </c>
      <c r="B607" s="14" t="s">
        <v>2262</v>
      </c>
      <c r="C607" s="14" t="s">
        <v>156</v>
      </c>
      <c r="D607" s="14" t="s">
        <v>126</v>
      </c>
      <c r="E607" s="14" t="s">
        <v>72</v>
      </c>
      <c r="F607" s="15">
        <v>45261</v>
      </c>
      <c r="G607" s="14" t="s">
        <v>2848</v>
      </c>
      <c r="H607" t="s">
        <v>3523</v>
      </c>
      <c r="I607" s="15"/>
      <c r="J607" s="14"/>
      <c r="K607" s="15"/>
      <c r="M607" s="14"/>
      <c r="N607">
        <v>190</v>
      </c>
    </row>
    <row r="608" spans="1:14" x14ac:dyDescent="0.3">
      <c r="A608">
        <v>607</v>
      </c>
      <c r="B608" s="14" t="s">
        <v>2300</v>
      </c>
      <c r="C608" s="14" t="s">
        <v>183</v>
      </c>
      <c r="D608" s="14" t="s">
        <v>126</v>
      </c>
      <c r="E608" s="14" t="s">
        <v>72</v>
      </c>
      <c r="F608" s="15">
        <v>45261</v>
      </c>
      <c r="G608" s="14" t="s">
        <v>2847</v>
      </c>
      <c r="H608" t="s">
        <v>3523</v>
      </c>
      <c r="I608" s="15"/>
      <c r="J608" s="14"/>
      <c r="K608" s="15"/>
      <c r="M608" s="14"/>
      <c r="N608">
        <v>190</v>
      </c>
    </row>
    <row r="609" spans="1:14" x14ac:dyDescent="0.3">
      <c r="A609">
        <v>608</v>
      </c>
      <c r="B609" s="14" t="s">
        <v>2282</v>
      </c>
      <c r="C609" s="14" t="s">
        <v>173</v>
      </c>
      <c r="D609" s="14" t="s">
        <v>126</v>
      </c>
      <c r="E609" s="14" t="s">
        <v>72</v>
      </c>
      <c r="F609" s="15">
        <v>45261</v>
      </c>
      <c r="G609" s="14" t="s">
        <v>2848</v>
      </c>
      <c r="H609" t="s">
        <v>3523</v>
      </c>
      <c r="I609" s="15"/>
      <c r="J609" s="14"/>
      <c r="K609" s="15"/>
      <c r="M609" s="14"/>
      <c r="N609">
        <v>190</v>
      </c>
    </row>
    <row r="610" spans="1:14" x14ac:dyDescent="0.3">
      <c r="A610">
        <v>609</v>
      </c>
      <c r="B610" s="14" t="s">
        <v>2303</v>
      </c>
      <c r="C610" s="14" t="s">
        <v>186</v>
      </c>
      <c r="D610" s="14" t="s">
        <v>126</v>
      </c>
      <c r="E610" s="14" t="s">
        <v>72</v>
      </c>
      <c r="F610" s="15">
        <v>45261</v>
      </c>
      <c r="G610" s="14" t="s">
        <v>2847</v>
      </c>
      <c r="H610" t="s">
        <v>3523</v>
      </c>
      <c r="I610" s="15"/>
      <c r="J610" s="14"/>
      <c r="K610" s="15"/>
      <c r="M610" s="14"/>
      <c r="N610">
        <v>190</v>
      </c>
    </row>
    <row r="611" spans="1:14" x14ac:dyDescent="0.3">
      <c r="A611">
        <v>610</v>
      </c>
      <c r="B611" s="14" t="s">
        <v>2267</v>
      </c>
      <c r="C611" s="14" t="s">
        <v>159</v>
      </c>
      <c r="D611" s="14" t="s">
        <v>126</v>
      </c>
      <c r="E611" s="14" t="s">
        <v>72</v>
      </c>
      <c r="F611" s="15">
        <v>45292</v>
      </c>
      <c r="G611" s="14" t="s">
        <v>2848</v>
      </c>
      <c r="H611" t="s">
        <v>3500</v>
      </c>
      <c r="I611" s="15">
        <v>45292</v>
      </c>
      <c r="J611" s="14" t="s">
        <v>3521</v>
      </c>
      <c r="K611" s="15"/>
      <c r="M611" s="14" t="s">
        <v>3477</v>
      </c>
      <c r="N611">
        <v>0</v>
      </c>
    </row>
    <row r="612" spans="1:14" x14ac:dyDescent="0.3">
      <c r="A612">
        <v>611</v>
      </c>
      <c r="B612" s="14" t="s">
        <v>2258</v>
      </c>
      <c r="C612" s="14" t="s">
        <v>154</v>
      </c>
      <c r="D612" s="14" t="s">
        <v>126</v>
      </c>
      <c r="E612" s="14" t="s">
        <v>72</v>
      </c>
      <c r="F612" s="15">
        <v>45292</v>
      </c>
      <c r="G612" s="14" t="s">
        <v>2848</v>
      </c>
      <c r="H612" t="s">
        <v>3500</v>
      </c>
      <c r="I612" s="15">
        <v>45292</v>
      </c>
      <c r="J612" s="14" t="s">
        <v>3521</v>
      </c>
      <c r="K612" s="15"/>
      <c r="M612" s="14" t="s">
        <v>3477</v>
      </c>
      <c r="N612">
        <v>0</v>
      </c>
    </row>
    <row r="613" spans="1:14" x14ac:dyDescent="0.3">
      <c r="A613">
        <v>612</v>
      </c>
      <c r="B613" s="14" t="s">
        <v>2259</v>
      </c>
      <c r="C613" s="14" t="s">
        <v>2099</v>
      </c>
      <c r="D613" s="14" t="s">
        <v>126</v>
      </c>
      <c r="E613" s="14" t="s">
        <v>72</v>
      </c>
      <c r="F613" s="15">
        <v>45292</v>
      </c>
      <c r="G613" s="14" t="s">
        <v>2848</v>
      </c>
      <c r="H613" t="s">
        <v>3500</v>
      </c>
      <c r="I613" s="15">
        <v>45292</v>
      </c>
      <c r="J613" s="14" t="s">
        <v>3521</v>
      </c>
      <c r="K613" s="15"/>
      <c r="M613" s="14" t="s">
        <v>3477</v>
      </c>
      <c r="N613">
        <v>0</v>
      </c>
    </row>
    <row r="614" spans="1:14" x14ac:dyDescent="0.3">
      <c r="A614">
        <v>613</v>
      </c>
      <c r="B614" s="14" t="s">
        <v>2254</v>
      </c>
      <c r="C614" s="14" t="s">
        <v>2098</v>
      </c>
      <c r="D614" s="14" t="s">
        <v>126</v>
      </c>
      <c r="E614" s="14" t="s">
        <v>72</v>
      </c>
      <c r="F614" s="15">
        <v>45292</v>
      </c>
      <c r="G614" s="14" t="s">
        <v>2848</v>
      </c>
      <c r="H614" t="s">
        <v>3500</v>
      </c>
      <c r="I614" s="15">
        <v>45292</v>
      </c>
      <c r="J614" s="14" t="s">
        <v>3521</v>
      </c>
      <c r="K614" s="15"/>
      <c r="M614" s="14" t="s">
        <v>3477</v>
      </c>
      <c r="N614">
        <v>0</v>
      </c>
    </row>
    <row r="615" spans="1:14" x14ac:dyDescent="0.3">
      <c r="A615">
        <v>614</v>
      </c>
      <c r="B615" s="14" t="s">
        <v>2247</v>
      </c>
      <c r="C615" s="14" t="s">
        <v>146</v>
      </c>
      <c r="D615" s="14" t="s">
        <v>126</v>
      </c>
      <c r="E615" s="14" t="s">
        <v>72</v>
      </c>
      <c r="F615" s="15">
        <v>45292</v>
      </c>
      <c r="G615" s="14" t="s">
        <v>2848</v>
      </c>
      <c r="H615" t="s">
        <v>3500</v>
      </c>
      <c r="I615" s="15">
        <v>45292</v>
      </c>
      <c r="J615" s="14" t="s">
        <v>3521</v>
      </c>
      <c r="K615" s="15"/>
      <c r="M615" s="14" t="s">
        <v>3477</v>
      </c>
      <c r="N615">
        <v>0</v>
      </c>
    </row>
    <row r="616" spans="1:14" x14ac:dyDescent="0.3">
      <c r="A616">
        <v>615</v>
      </c>
      <c r="B616" s="14" t="s">
        <v>2243</v>
      </c>
      <c r="C616" s="14" t="s">
        <v>144</v>
      </c>
      <c r="D616" s="14" t="s">
        <v>126</v>
      </c>
      <c r="E616" s="14" t="s">
        <v>72</v>
      </c>
      <c r="F616" s="15">
        <v>45292</v>
      </c>
      <c r="G616" s="14" t="s">
        <v>2848</v>
      </c>
      <c r="H616" t="s">
        <v>3500</v>
      </c>
      <c r="I616" s="15">
        <v>45292</v>
      </c>
      <c r="J616" s="14" t="s">
        <v>3521</v>
      </c>
      <c r="K616" s="15"/>
      <c r="M616" s="14" t="s">
        <v>3477</v>
      </c>
      <c r="N616">
        <v>0</v>
      </c>
    </row>
    <row r="617" spans="1:14" x14ac:dyDescent="0.3">
      <c r="A617">
        <v>616</v>
      </c>
      <c r="B617" s="14" t="s">
        <v>2496</v>
      </c>
      <c r="C617" s="14" t="s">
        <v>304</v>
      </c>
      <c r="D617" s="14" t="s">
        <v>126</v>
      </c>
      <c r="E617" s="14" t="s">
        <v>72</v>
      </c>
      <c r="F617" s="15">
        <v>45348</v>
      </c>
      <c r="G617" s="14" t="s">
        <v>2848</v>
      </c>
      <c r="H617" t="s">
        <v>3500</v>
      </c>
      <c r="I617" s="15">
        <v>45351</v>
      </c>
      <c r="J617" s="14" t="s">
        <v>3521</v>
      </c>
      <c r="K617" s="15"/>
      <c r="M617" s="14" t="s">
        <v>3477</v>
      </c>
      <c r="N617">
        <v>3</v>
      </c>
    </row>
    <row r="618" spans="1:14" x14ac:dyDescent="0.3">
      <c r="A618">
        <v>617</v>
      </c>
      <c r="B618" s="14" t="s">
        <v>2717</v>
      </c>
      <c r="C618" s="14" t="s">
        <v>479</v>
      </c>
      <c r="D618" s="14" t="s">
        <v>126</v>
      </c>
      <c r="E618" s="14" t="s">
        <v>72</v>
      </c>
      <c r="F618" s="15">
        <v>45406</v>
      </c>
      <c r="G618" s="14" t="s">
        <v>2848</v>
      </c>
      <c r="H618" t="s">
        <v>3524</v>
      </c>
      <c r="I618" s="15"/>
      <c r="J618" s="14" t="s">
        <v>3521</v>
      </c>
      <c r="K618" s="15"/>
      <c r="M618" s="14"/>
    </row>
    <row r="619" spans="1:14" x14ac:dyDescent="0.3">
      <c r="A619">
        <v>618</v>
      </c>
      <c r="B619" s="14" t="s">
        <v>2722</v>
      </c>
      <c r="C619" s="14" t="s">
        <v>483</v>
      </c>
      <c r="D619" s="14" t="s">
        <v>126</v>
      </c>
      <c r="E619" s="14" t="s">
        <v>72</v>
      </c>
      <c r="F619" s="15">
        <v>45404</v>
      </c>
      <c r="G619" s="14" t="s">
        <v>3539</v>
      </c>
      <c r="H619" t="s">
        <v>3524</v>
      </c>
      <c r="I619" s="15"/>
      <c r="J619" s="14" t="s">
        <v>3521</v>
      </c>
      <c r="K619" s="15"/>
      <c r="M619" s="14"/>
    </row>
    <row r="620" spans="1:14" x14ac:dyDescent="0.3">
      <c r="A620">
        <v>619</v>
      </c>
      <c r="B620" s="14" t="s">
        <v>2257</v>
      </c>
      <c r="C620" s="14" t="s">
        <v>153</v>
      </c>
      <c r="D620" s="14" t="s">
        <v>126</v>
      </c>
      <c r="E620" s="14" t="s">
        <v>72</v>
      </c>
      <c r="F620" s="15">
        <v>45292</v>
      </c>
      <c r="G620" s="14" t="s">
        <v>2848</v>
      </c>
      <c r="H620" t="s">
        <v>3524</v>
      </c>
      <c r="I620" s="15"/>
      <c r="J620" s="14" t="s">
        <v>3521</v>
      </c>
      <c r="K620" s="15"/>
      <c r="M620" s="14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7B435-AFF4-4F33-BE5C-9B9F7E84139C}">
  <sheetPr codeName="shPost"/>
  <dimension ref="A1:AV53"/>
  <sheetViews>
    <sheetView topLeftCell="AF1" zoomScale="110" zoomScaleNormal="110" zoomScaleSheetLayoutView="85" workbookViewId="0">
      <selection activeCell="AW13" sqref="AW13"/>
    </sheetView>
  </sheetViews>
  <sheetFormatPr defaultRowHeight="14" x14ac:dyDescent="0.3"/>
  <cols>
    <col min="1" max="1" width="5.796875" style="1" bestFit="1" customWidth="1"/>
    <col min="2" max="2" width="9.09765625" style="1" bestFit="1" customWidth="1"/>
    <col min="3" max="3" width="34.296875" style="1" bestFit="1" customWidth="1"/>
    <col min="4" max="4" width="22.3984375" style="1" bestFit="1" customWidth="1"/>
    <col min="5" max="5" width="25.59765625" style="1" bestFit="1" customWidth="1"/>
    <col min="6" max="6" width="13.59765625" style="1" bestFit="1" customWidth="1"/>
    <col min="7" max="7" width="22.796875" style="1" bestFit="1" customWidth="1"/>
    <col min="8" max="8" width="12.5" style="1" bestFit="1" customWidth="1"/>
    <col min="9" max="9" width="9.69921875" style="1" bestFit="1" customWidth="1"/>
    <col min="10" max="10" width="13.796875" style="1" bestFit="1" customWidth="1"/>
    <col min="11" max="11" width="11.69921875" style="1" bestFit="1" customWidth="1"/>
    <col min="12" max="12" width="8.5" style="1" bestFit="1" customWidth="1"/>
    <col min="13" max="13" width="11.8984375" style="1" bestFit="1" customWidth="1"/>
    <col min="14" max="14" width="11.8984375" style="1" customWidth="1"/>
    <col min="15" max="17" width="8.8984375" style="1" customWidth="1"/>
    <col min="18" max="18" width="12.3984375" style="1" customWidth="1"/>
    <col min="19" max="30" width="4.796875" style="1" customWidth="1"/>
    <col min="31" max="31" width="7.3984375" style="1" customWidth="1"/>
    <col min="32" max="32" width="4.59765625" style="1" customWidth="1"/>
    <col min="33" max="33" width="12.296875" style="1" customWidth="1"/>
    <col min="34" max="47" width="8.796875" style="1"/>
    <col min="48" max="48" width="6.09765625" style="1" customWidth="1"/>
    <col min="49" max="16384" width="8.796875" style="1"/>
  </cols>
  <sheetData>
    <row r="1" spans="1:48" x14ac:dyDescent="0.3">
      <c r="A1" s="1" t="s">
        <v>3475</v>
      </c>
      <c r="B1" s="1" t="s">
        <v>3478</v>
      </c>
      <c r="C1" s="1" t="s">
        <v>3479</v>
      </c>
      <c r="D1" s="1" t="s">
        <v>3480</v>
      </c>
      <c r="E1" s="1" t="s">
        <v>3481</v>
      </c>
      <c r="F1" s="1" t="s">
        <v>3482</v>
      </c>
      <c r="G1" s="1" t="s">
        <v>3483</v>
      </c>
      <c r="H1" s="1" t="s">
        <v>3484</v>
      </c>
      <c r="I1" s="1" t="s">
        <v>3476</v>
      </c>
      <c r="J1" s="1" t="s">
        <v>3485</v>
      </c>
      <c r="K1" s="1" t="s">
        <v>3486</v>
      </c>
      <c r="L1" s="1" t="s">
        <v>3508</v>
      </c>
      <c r="M1" s="1" t="s">
        <v>3522</v>
      </c>
      <c r="N1" t="s">
        <v>3550</v>
      </c>
      <c r="R1" s="35" t="s">
        <v>3530</v>
      </c>
      <c r="S1" s="16" t="s">
        <v>3509</v>
      </c>
      <c r="T1" s="16" t="s">
        <v>3510</v>
      </c>
      <c r="U1" s="16" t="s">
        <v>3511</v>
      </c>
      <c r="V1" s="16" t="s">
        <v>3512</v>
      </c>
      <c r="W1" s="16" t="s">
        <v>3513</v>
      </c>
      <c r="X1" s="16" t="s">
        <v>3514</v>
      </c>
      <c r="Y1" s="16" t="s">
        <v>3515</v>
      </c>
      <c r="Z1" s="16" t="s">
        <v>3516</v>
      </c>
      <c r="AA1" s="16" t="s">
        <v>3517</v>
      </c>
      <c r="AB1" s="16" t="s">
        <v>3518</v>
      </c>
      <c r="AC1" s="16" t="s">
        <v>3519</v>
      </c>
      <c r="AD1" s="16" t="s">
        <v>3520</v>
      </c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1:48" x14ac:dyDescent="0.3">
      <c r="A2" s="1">
        <v>1</v>
      </c>
      <c r="B2" s="24" t="s">
        <v>97</v>
      </c>
      <c r="C2" s="24" t="s">
        <v>32</v>
      </c>
      <c r="D2" s="24" t="s">
        <v>10</v>
      </c>
      <c r="E2" s="24" t="s">
        <v>2</v>
      </c>
      <c r="F2" s="24" t="s">
        <v>4</v>
      </c>
      <c r="G2" s="24" t="s">
        <v>3</v>
      </c>
      <c r="H2" s="25">
        <v>45292</v>
      </c>
      <c r="I2" s="24" t="s">
        <v>3473</v>
      </c>
      <c r="J2" s="24"/>
      <c r="K2" s="25"/>
      <c r="L2" s="1">
        <v>159</v>
      </c>
      <c r="M2" s="1">
        <v>0</v>
      </c>
      <c r="N2" s="14"/>
      <c r="R2" s="33" t="s">
        <v>3531</v>
      </c>
      <c r="S2" s="17" cm="1">
        <f t="array" aca="1" ref="S2" ca="1">IF(MONTH(TODAY())&lt;MONTH(start_month),0,COUNTIFS(tblPost[Appr_Date],"&lt;="&amp;end_month,tblPost[Stat_Date],"")+COUNTIFS(tblPost[Appr_Date],"&lt;="&amp;end_month,tblPost[Stat_Date],"&gt;="&amp;start_month))</f>
        <v>34</v>
      </c>
      <c r="T2" s="17" cm="1">
        <f t="array" aca="1" ref="T2" ca="1">IF(MONTH(TODAY())&lt;MONTH(start_month),0,S$2-SUM(S$4:S$6)+T$3)</f>
        <v>37</v>
      </c>
      <c r="U2" s="17" cm="1">
        <f t="array" aca="1" ref="U2" ca="1">IF(MONTH(TODAY())&lt;MONTH(start_month),0,T$2-SUM(T$4:T$6)+U$3)</f>
        <v>22</v>
      </c>
      <c r="V2" s="17" cm="1">
        <f t="array" aca="1" ref="V2" ca="1">IF(MONTH(TODAY())&lt;MONTH(start_month),0,U$2-SUM(U$4:U$6)+V$3)</f>
        <v>18</v>
      </c>
      <c r="W2" s="17" cm="1">
        <f t="array" aca="1" ref="W2" ca="1">IF(MONTH(TODAY())&lt;MONTH(start_month),0,V$2-SUM(V$4:V$6)+W$3)</f>
        <v>16</v>
      </c>
      <c r="X2" s="17" cm="1">
        <f t="array" aca="1" ref="X2" ca="1">IF(MONTH(TODAY())&lt;MONTH(start_month),0,W$2-SUM(W$4:W$6)+X$3)</f>
        <v>14</v>
      </c>
      <c r="Y2" s="17" cm="1">
        <f t="array" aca="1" ref="Y2" ca="1">IF(MONTH(TODAY())&lt;MONTH(start_month),0,X$2-SUM(X$4:X$6)+Y$3)</f>
        <v>0</v>
      </c>
      <c r="Z2" s="17" cm="1">
        <f t="array" aca="1" ref="Z2" ca="1">IF(MONTH(TODAY())&lt;MONTH(start_month),0,Y$2-SUM(Y$4:Y$6)+Z$3)</f>
        <v>0</v>
      </c>
      <c r="AA2" s="17" cm="1">
        <f t="array" aca="1" ref="AA2" ca="1">IF(MONTH(TODAY())&lt;MONTH(start_month),0,Z$2-SUM(Z$4:Z$6)+AA$3)</f>
        <v>0</v>
      </c>
      <c r="AB2" s="17" cm="1">
        <f t="array" aca="1" ref="AB2" ca="1">IF(MONTH(TODAY())&lt;MONTH(start_month),0,AA$2-SUM(AA$4:AA$6)+AB$3)</f>
        <v>0</v>
      </c>
      <c r="AC2" s="17" cm="1">
        <f t="array" aca="1" ref="AC2" ca="1">IF(MONTH(TODAY())&lt;MONTH(start_month),0,AB$2-SUM(AB$4:AB$6)+AC$3)</f>
        <v>0</v>
      </c>
      <c r="AD2" s="17" cm="1">
        <f t="array" aca="1" ref="AD2" ca="1">IF(MONTH(TODAY())&lt;MONTH(start_month),0,AC$2-SUM(AC$4:AC$6)+AD$3)</f>
        <v>0</v>
      </c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1:48" x14ac:dyDescent="0.3">
      <c r="A3" s="1">
        <v>2</v>
      </c>
      <c r="B3" s="24" t="s">
        <v>95</v>
      </c>
      <c r="C3" s="24" t="s">
        <v>32</v>
      </c>
      <c r="D3" s="24" t="s">
        <v>10</v>
      </c>
      <c r="E3" s="24" t="s">
        <v>2</v>
      </c>
      <c r="F3" s="24" t="s">
        <v>4</v>
      </c>
      <c r="G3" s="24" t="s">
        <v>3</v>
      </c>
      <c r="H3" s="25">
        <v>45292</v>
      </c>
      <c r="I3" s="24" t="s">
        <v>3473</v>
      </c>
      <c r="J3" s="24"/>
      <c r="K3" s="25"/>
      <c r="L3" s="1">
        <v>159</v>
      </c>
      <c r="M3" s="1">
        <v>0</v>
      </c>
      <c r="N3" s="14"/>
      <c r="R3" s="33" t="s">
        <v>3532</v>
      </c>
      <c r="S3" s="17" cm="1">
        <f t="array" ref="S3">COUNTIFS(tblPost[Appr_Date],"&gt;="&amp;start_month,tblPost[Appr_Date],"&lt;="&amp;end_month)</f>
        <v>18</v>
      </c>
      <c r="T3" s="17" cm="1">
        <f t="array" ref="T3">COUNTIFS(tblPost[Appr_Date],"&gt;="&amp;start_month,tblPost[Appr_Date],"&lt;="&amp;end_month)</f>
        <v>6</v>
      </c>
      <c r="U3" s="17" cm="1">
        <f t="array" ref="U3">COUNTIFS(tblPost[Appr_Date],"&gt;="&amp;start_month,tblPost[Appr_Date],"&lt;="&amp;end_month)</f>
        <v>5</v>
      </c>
      <c r="V3" s="17" cm="1">
        <f t="array" ref="V3">COUNTIFS(tblPost[Appr_Date],"&gt;="&amp;start_month,tblPost[Appr_Date],"&lt;="&amp;end_month)</f>
        <v>6</v>
      </c>
      <c r="W3" s="17" cm="1">
        <f t="array" ref="W3">COUNTIFS(tblPost[Appr_Date],"&gt;="&amp;start_month,tblPost[Appr_Date],"&lt;="&amp;end_month)</f>
        <v>1</v>
      </c>
      <c r="X3" s="17" cm="1">
        <f t="array" ref="X3">COUNTIFS(tblPost[Appr_Date],"&gt;="&amp;start_month,tblPost[Appr_Date],"&lt;="&amp;end_month)</f>
        <v>0</v>
      </c>
      <c r="Y3" s="17" cm="1">
        <f t="array" ref="Y3">COUNTIFS(tblPost[Appr_Date],"&gt;="&amp;start_month,tblPost[Appr_Date],"&lt;="&amp;end_month)</f>
        <v>0</v>
      </c>
      <c r="Z3" s="17" cm="1">
        <f t="array" ref="Z3">COUNTIFS(tblPost[Appr_Date],"&gt;="&amp;start_month,tblPost[Appr_Date],"&lt;="&amp;end_month)</f>
        <v>0</v>
      </c>
      <c r="AA3" s="17" cm="1">
        <f t="array" ref="AA3">COUNTIFS(tblPost[Appr_Date],"&gt;="&amp;start_month,tblPost[Appr_Date],"&lt;="&amp;end_month)</f>
        <v>0</v>
      </c>
      <c r="AB3" s="17" cm="1">
        <f t="array" ref="AB3">COUNTIFS(tblPost[Appr_Date],"&gt;="&amp;start_month,tblPost[Appr_Date],"&lt;="&amp;end_month)</f>
        <v>0</v>
      </c>
      <c r="AC3" s="17" cm="1">
        <f t="array" ref="AC3">COUNTIFS(tblPost[Appr_Date],"&gt;="&amp;start_month,tblPost[Appr_Date],"&lt;="&amp;end_month)</f>
        <v>0</v>
      </c>
      <c r="AD3" s="18" cm="1">
        <f t="array" ref="AD3">COUNTIFS(tblPost[Appr_Date],"&gt;="&amp;start_month,tblPost[Appr_Date],"&lt;="&amp;end_month)</f>
        <v>0</v>
      </c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1:48" x14ac:dyDescent="0.3">
      <c r="A4" s="1">
        <v>3</v>
      </c>
      <c r="B4" s="24" t="s">
        <v>103</v>
      </c>
      <c r="C4" s="24" t="s">
        <v>41</v>
      </c>
      <c r="D4" s="24" t="s">
        <v>10</v>
      </c>
      <c r="E4" s="24" t="s">
        <v>2</v>
      </c>
      <c r="F4" s="24" t="s">
        <v>4</v>
      </c>
      <c r="G4" s="24" t="s">
        <v>3</v>
      </c>
      <c r="H4" s="25">
        <v>45300</v>
      </c>
      <c r="I4" s="24" t="s">
        <v>3473</v>
      </c>
      <c r="J4" s="24"/>
      <c r="K4" s="25"/>
      <c r="L4" s="1">
        <v>151</v>
      </c>
      <c r="M4" s="1">
        <v>0</v>
      </c>
      <c r="N4" s="14"/>
      <c r="R4" s="33" t="s">
        <v>3474</v>
      </c>
      <c r="S4" s="19" cm="1">
        <f t="array" ref="S4">COUNTIFS(tblPost[Post_Status],"Hold",tblPost[Stat_Date],"&gt;="&amp;start_month,tblPost[Stat_Date],"&lt;="&amp;end_month)</f>
        <v>0</v>
      </c>
      <c r="T4" s="19" cm="1">
        <f t="array" ref="T4">COUNTIFS(tblPost[Post_Status],"Hold",tblPost[Stat_Date],"&gt;="&amp;start_month,tblPost[Stat_Date],"&lt;="&amp;end_month)</f>
        <v>0</v>
      </c>
      <c r="U4" s="19" cm="1">
        <f t="array" ref="U4">COUNTIFS(tblPost[Post_Status],"Hold",tblPost[Stat_Date],"&gt;="&amp;start_month,tblPost[Stat_Date],"&lt;="&amp;end_month)</f>
        <v>3</v>
      </c>
      <c r="V4" s="19" cm="1">
        <f t="array" ref="V4">COUNTIFS(tblPost[Post_Status],"Hold",tblPost[Stat_Date],"&gt;="&amp;start_month,tblPost[Stat_Date],"&lt;="&amp;end_month)</f>
        <v>0</v>
      </c>
      <c r="W4" s="19" cm="1">
        <f t="array" ref="W4">COUNTIFS(tblPost[Post_Status],"Hold",tblPost[Stat_Date],"&gt;="&amp;start_month,tblPost[Stat_Date],"&lt;="&amp;end_month)</f>
        <v>0</v>
      </c>
      <c r="X4" s="19" cm="1">
        <f t="array" ref="X4">COUNTIFS(tblPost[Post_Status],"Hold",tblPost[Stat_Date],"&gt;="&amp;start_month,tblPost[Stat_Date],"&lt;="&amp;end_month)</f>
        <v>0</v>
      </c>
      <c r="Y4" s="19" cm="1">
        <f t="array" ref="Y4">COUNTIFS(tblPost[Post_Status],"Hold",tblPost[Stat_Date],"&gt;="&amp;start_month,tblPost[Stat_Date],"&lt;="&amp;end_month)</f>
        <v>0</v>
      </c>
      <c r="Z4" s="19" cm="1">
        <f t="array" ref="Z4">COUNTIFS(tblPost[Post_Status],"Hold",tblPost[Stat_Date],"&gt;="&amp;start_month,tblPost[Stat_Date],"&lt;="&amp;end_month)</f>
        <v>0</v>
      </c>
      <c r="AA4" s="19" cm="1">
        <f t="array" ref="AA4">COUNTIFS(tblPost[Post_Status],"Hold",tblPost[Stat_Date],"&gt;="&amp;start_month,tblPost[Stat_Date],"&lt;="&amp;end_month)</f>
        <v>0</v>
      </c>
      <c r="AB4" s="19" cm="1">
        <f t="array" ref="AB4">COUNTIFS(tblPost[Post_Status],"Hold",tblPost[Stat_Date],"&gt;="&amp;start_month,tblPost[Stat_Date],"&lt;="&amp;end_month)</f>
        <v>0</v>
      </c>
      <c r="AC4" s="19" cm="1">
        <f t="array" ref="AC4">COUNTIFS(tblPost[Post_Status],"Hold",tblPost[Stat_Date],"&gt;="&amp;start_month,tblPost[Stat_Date],"&lt;="&amp;end_month)</f>
        <v>0</v>
      </c>
      <c r="AD4" s="20" cm="1">
        <f t="array" ref="AD4">COUNTIFS(tblPost[Post_Status],"Hold",tblPost[Stat_Date],"&gt;="&amp;start_month,tblPost[Stat_Date],"&lt;="&amp;end_month)</f>
        <v>0</v>
      </c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1:48" x14ac:dyDescent="0.3">
      <c r="A5" s="1">
        <v>4</v>
      </c>
      <c r="B5" s="24" t="s">
        <v>105</v>
      </c>
      <c r="C5" s="24" t="s">
        <v>44</v>
      </c>
      <c r="D5" s="24" t="s">
        <v>43</v>
      </c>
      <c r="E5" s="24" t="s">
        <v>43</v>
      </c>
      <c r="F5" s="24" t="s">
        <v>4</v>
      </c>
      <c r="G5" s="24" t="s">
        <v>8</v>
      </c>
      <c r="H5" s="25">
        <v>45301</v>
      </c>
      <c r="I5" s="24" t="s">
        <v>3473</v>
      </c>
      <c r="J5" s="24"/>
      <c r="K5" s="25"/>
      <c r="L5" s="1">
        <v>150</v>
      </c>
      <c r="M5" s="1">
        <v>35</v>
      </c>
      <c r="N5" s="14"/>
      <c r="R5" s="33" t="s">
        <v>74</v>
      </c>
      <c r="S5" s="21" cm="1">
        <f t="array" ref="S5">COUNTIFS(tblPost[Post_Status],"Closed",tblPost[Stat_Date],"&gt;="&amp;start_month,tblPost[Stat_Date],"&lt;="&amp;end_month)</f>
        <v>3</v>
      </c>
      <c r="T5" s="21" cm="1">
        <f t="array" ref="T5">COUNTIFS(tblPost[Post_Status],"Closed",tblPost[Stat_Date],"&gt;="&amp;start_month,tblPost[Stat_Date],"&lt;="&amp;end_month)</f>
        <v>4</v>
      </c>
      <c r="U5" s="21" cm="1">
        <f t="array" ref="U5">COUNTIFS(tblPost[Post_Status],"Closed",tblPost[Stat_Date],"&gt;="&amp;start_month,tblPost[Stat_Date],"&lt;="&amp;end_month)</f>
        <v>7</v>
      </c>
      <c r="V5" s="21" cm="1">
        <f t="array" ref="V5">COUNTIFS(tblPost[Post_Status],"Closed",tblPost[Stat_Date],"&gt;="&amp;start_month,tblPost[Stat_Date],"&lt;="&amp;end_month)</f>
        <v>1</v>
      </c>
      <c r="W5" s="21" cm="1">
        <f t="array" ref="W5">COUNTIFS(tblPost[Post_Status],"Closed",tblPost[Stat_Date],"&gt;="&amp;start_month,tblPost[Stat_Date],"&lt;="&amp;end_month)</f>
        <v>1</v>
      </c>
      <c r="X5" s="21" cm="1">
        <f t="array" ref="X5">COUNTIFS(tblPost[Post_Status],"Closed",tblPost[Stat_Date],"&gt;="&amp;start_month,tblPost[Stat_Date],"&lt;="&amp;end_month)</f>
        <v>1</v>
      </c>
      <c r="Y5" s="21" cm="1">
        <f t="array" ref="Y5">COUNTIFS(tblPost[Post_Status],"Closed",tblPost[Stat_Date],"&gt;="&amp;start_month,tblPost[Stat_Date],"&lt;="&amp;end_month)</f>
        <v>0</v>
      </c>
      <c r="Z5" s="21" cm="1">
        <f t="array" ref="Z5">COUNTIFS(tblPost[Post_Status],"Closed",tblPost[Stat_Date],"&gt;="&amp;start_month,tblPost[Stat_Date],"&lt;="&amp;end_month)</f>
        <v>0</v>
      </c>
      <c r="AA5" s="21" cm="1">
        <f t="array" ref="AA5">COUNTIFS(tblPost[Post_Status],"Closed",tblPost[Stat_Date],"&gt;="&amp;start_month,tblPost[Stat_Date],"&lt;="&amp;end_month)</f>
        <v>0</v>
      </c>
      <c r="AB5" s="21" cm="1">
        <f t="array" ref="AB5">COUNTIFS(tblPost[Post_Status],"Closed",tblPost[Stat_Date],"&gt;="&amp;start_month,tblPost[Stat_Date],"&lt;="&amp;end_month)</f>
        <v>0</v>
      </c>
      <c r="AC5" s="21" cm="1">
        <f t="array" ref="AC5">COUNTIFS(tblPost[Post_Status],"Closed",tblPost[Stat_Date],"&gt;="&amp;start_month,tblPost[Stat_Date],"&lt;="&amp;end_month)</f>
        <v>0</v>
      </c>
      <c r="AD5" s="22" cm="1">
        <f t="array" ref="AD5">COUNTIFS(tblPost[Post_Status],"Closed",tblPost[Stat_Date],"&gt;="&amp;start_month,tblPost[Stat_Date],"&lt;="&amp;end_month)</f>
        <v>0</v>
      </c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1:48" x14ac:dyDescent="0.3">
      <c r="A6" s="1">
        <v>5</v>
      </c>
      <c r="B6" s="24" t="s">
        <v>107</v>
      </c>
      <c r="C6" s="24" t="s">
        <v>46</v>
      </c>
      <c r="D6" s="24" t="s">
        <v>47</v>
      </c>
      <c r="E6" s="24" t="s">
        <v>2</v>
      </c>
      <c r="F6" s="24" t="s">
        <v>4</v>
      </c>
      <c r="G6" s="24" t="s">
        <v>13</v>
      </c>
      <c r="H6" s="25">
        <v>45321</v>
      </c>
      <c r="I6" s="24" t="s">
        <v>3473</v>
      </c>
      <c r="J6" s="24"/>
      <c r="K6" s="25"/>
      <c r="L6" s="1">
        <v>130</v>
      </c>
      <c r="M6" s="1">
        <v>0</v>
      </c>
      <c r="N6" s="14"/>
      <c r="R6" s="33" t="s">
        <v>75</v>
      </c>
      <c r="S6" s="19" cm="1">
        <f t="array" ref="S6">COUNTIFS(tblPost[Post_Status],"Cancelled",tblPost[Stat_Date],"&gt;="&amp;start_month,tblPost[Stat_Date],"&lt;="&amp;end_month)</f>
        <v>0</v>
      </c>
      <c r="T6" s="19" cm="1">
        <f t="array" ref="T6">COUNTIFS(tblPost[Post_Status],"Cancelled",tblPost[Stat_Date],"&gt;="&amp;start_month,tblPost[Stat_Date],"&lt;="&amp;end_month)</f>
        <v>16</v>
      </c>
      <c r="U6" s="19" cm="1">
        <f t="array" ref="U6">COUNTIFS(tblPost[Post_Status],"Cancelled",tblPost[Stat_Date],"&gt;="&amp;start_month,tblPost[Stat_Date],"&lt;="&amp;end_month)</f>
        <v>0</v>
      </c>
      <c r="V6" s="19" cm="1">
        <f t="array" ref="V6">COUNTIFS(tblPost[Post_Status],"Cancelled",tblPost[Stat_Date],"&gt;="&amp;start_month,tblPost[Stat_Date],"&lt;="&amp;end_month)</f>
        <v>2</v>
      </c>
      <c r="W6" s="19" cm="1">
        <f t="array" ref="W6">COUNTIFS(tblPost[Post_Status],"Cancelled",tblPost[Stat_Date],"&gt;="&amp;start_month,tblPost[Stat_Date],"&lt;="&amp;end_month)</f>
        <v>1</v>
      </c>
      <c r="X6" s="19" cm="1">
        <f t="array" ref="X6">COUNTIFS(tblPost[Post_Status],"Cancelled",tblPost[Stat_Date],"&gt;="&amp;start_month,tblPost[Stat_Date],"&lt;="&amp;end_month)</f>
        <v>0</v>
      </c>
      <c r="Y6" s="19" cm="1">
        <f t="array" ref="Y6">COUNTIFS(tblPost[Post_Status],"Cancelled",tblPost[Stat_Date],"&gt;="&amp;start_month,tblPost[Stat_Date],"&lt;="&amp;end_month)</f>
        <v>0</v>
      </c>
      <c r="Z6" s="19" cm="1">
        <f t="array" ref="Z6">COUNTIFS(tblPost[Post_Status],"Cancelled",tblPost[Stat_Date],"&gt;="&amp;start_month,tblPost[Stat_Date],"&lt;="&amp;end_month)</f>
        <v>0</v>
      </c>
      <c r="AA6" s="19" cm="1">
        <f t="array" ref="AA6">COUNTIFS(tblPost[Post_Status],"Cancelled",tblPost[Stat_Date],"&gt;="&amp;start_month,tblPost[Stat_Date],"&lt;="&amp;end_month)</f>
        <v>0</v>
      </c>
      <c r="AB6" s="19" cm="1">
        <f t="array" ref="AB6">COUNTIFS(tblPost[Post_Status],"Cancelled",tblPost[Stat_Date],"&gt;="&amp;start_month,tblPost[Stat_Date],"&lt;="&amp;end_month)</f>
        <v>0</v>
      </c>
      <c r="AC6" s="19" cm="1">
        <f t="array" ref="AC6">COUNTIFS(tblPost[Post_Status],"Cancelled",tblPost[Stat_Date],"&gt;="&amp;start_month,tblPost[Stat_Date],"&lt;="&amp;end_month)</f>
        <v>0</v>
      </c>
      <c r="AD6" s="20" cm="1">
        <f t="array" ref="AD6">COUNTIFS(tblPost[Post_Status],"Cancelled",tblPost[Stat_Date],"&gt;="&amp;start_month,tblPost[Stat_Date],"&lt;="&amp;end_month)</f>
        <v>0</v>
      </c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1:48" x14ac:dyDescent="0.3">
      <c r="A7" s="1">
        <v>6</v>
      </c>
      <c r="B7" s="24" t="s">
        <v>108</v>
      </c>
      <c r="C7" s="24" t="s">
        <v>48</v>
      </c>
      <c r="D7" s="24" t="s">
        <v>10</v>
      </c>
      <c r="E7" s="24" t="s">
        <v>2</v>
      </c>
      <c r="F7" s="24" t="s">
        <v>4</v>
      </c>
      <c r="G7" s="24" t="s">
        <v>19</v>
      </c>
      <c r="H7" s="25">
        <v>45321</v>
      </c>
      <c r="I7" s="24"/>
      <c r="J7" s="24"/>
      <c r="K7" s="25"/>
      <c r="L7" s="1">
        <v>130</v>
      </c>
      <c r="M7" s="1">
        <v>0</v>
      </c>
      <c r="N7" s="1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1:48" x14ac:dyDescent="0.3">
      <c r="A8" s="1">
        <v>7</v>
      </c>
      <c r="B8" s="24" t="s">
        <v>117</v>
      </c>
      <c r="C8" s="24" t="s">
        <v>62</v>
      </c>
      <c r="D8" s="24" t="s">
        <v>18</v>
      </c>
      <c r="E8" s="24" t="s">
        <v>18</v>
      </c>
      <c r="F8" s="24" t="s">
        <v>4</v>
      </c>
      <c r="G8" s="24" t="s">
        <v>19</v>
      </c>
      <c r="H8" s="25">
        <v>45377</v>
      </c>
      <c r="I8" s="24"/>
      <c r="J8" s="24"/>
      <c r="K8" s="25"/>
      <c r="L8" s="1">
        <v>74</v>
      </c>
      <c r="M8" s="1">
        <v>5</v>
      </c>
      <c r="N8" s="14"/>
      <c r="R8" s="26" t="s">
        <v>3533</v>
      </c>
      <c r="S8" s="40" t="str">
        <f ca="1">S1&amp;" ("&amp;S2-SUM(S4:S6)&amp;")"</f>
        <v>Jan (31)</v>
      </c>
      <c r="T8" s="40" t="str">
        <f t="shared" ref="T8:AD8" ca="1" si="0">T1&amp;" ("&amp;T2-SUM(T4:T6)&amp;")"</f>
        <v>Feb (17)</v>
      </c>
      <c r="U8" s="40" t="str">
        <f t="shared" ca="1" si="0"/>
        <v>Mar (12)</v>
      </c>
      <c r="V8" s="40" t="str">
        <f t="shared" ca="1" si="0"/>
        <v>Apr (15)</v>
      </c>
      <c r="W8" s="40" t="str">
        <f t="shared" ca="1" si="0"/>
        <v>May (14)</v>
      </c>
      <c r="X8" s="40" t="str">
        <f t="shared" ca="1" si="0"/>
        <v>Jun (13)</v>
      </c>
      <c r="Y8" s="40" t="str">
        <f t="shared" ca="1" si="0"/>
        <v>Jul (0)</v>
      </c>
      <c r="Z8" s="40" t="str">
        <f t="shared" ca="1" si="0"/>
        <v>Aug (0)</v>
      </c>
      <c r="AA8" s="40" t="str">
        <f t="shared" ca="1" si="0"/>
        <v>Sep (0)</v>
      </c>
      <c r="AB8" s="40" t="str">
        <f t="shared" ca="1" si="0"/>
        <v>Oct (0)</v>
      </c>
      <c r="AC8" s="40" t="str">
        <f t="shared" ca="1" si="0"/>
        <v>Nov (0)</v>
      </c>
      <c r="AD8" s="40" t="str">
        <f t="shared" ca="1" si="0"/>
        <v>Dec (0)</v>
      </c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</row>
    <row r="9" spans="1:48" x14ac:dyDescent="0.3">
      <c r="A9" s="1">
        <v>8</v>
      </c>
      <c r="B9" s="24" t="s">
        <v>123</v>
      </c>
      <c r="C9" s="24" t="s">
        <v>68</v>
      </c>
      <c r="D9" s="24"/>
      <c r="E9" s="24" t="s">
        <v>7</v>
      </c>
      <c r="F9" s="24" t="s">
        <v>14</v>
      </c>
      <c r="G9" s="24" t="s">
        <v>13</v>
      </c>
      <c r="H9" s="25">
        <v>45383</v>
      </c>
      <c r="I9" s="24" t="s">
        <v>3473</v>
      </c>
      <c r="J9" s="24"/>
      <c r="K9" s="25"/>
      <c r="L9" s="1">
        <v>68</v>
      </c>
      <c r="M9" s="1">
        <v>0</v>
      </c>
      <c r="N9" s="14"/>
      <c r="R9" s="27" t="s">
        <v>3534</v>
      </c>
      <c r="S9" s="29">
        <f ca="1">IFERROR(S5/S2,0)</f>
        <v>8.8235294117647065E-2</v>
      </c>
      <c r="T9" s="29">
        <f t="shared" ref="T9:AD9" ca="1" si="1">IFERROR(T5/T2,0)</f>
        <v>0.10810810810810811</v>
      </c>
      <c r="U9" s="29">
        <f t="shared" ca="1" si="1"/>
        <v>0.31818181818181818</v>
      </c>
      <c r="V9" s="29">
        <f t="shared" ca="1" si="1"/>
        <v>5.5555555555555552E-2</v>
      </c>
      <c r="W9" s="29">
        <f t="shared" ca="1" si="1"/>
        <v>6.25E-2</v>
      </c>
      <c r="X9" s="29">
        <f t="shared" ca="1" si="1"/>
        <v>7.1428571428571425E-2</v>
      </c>
      <c r="Y9" s="29">
        <f t="shared" ca="1" si="1"/>
        <v>0</v>
      </c>
      <c r="Z9" s="29">
        <f t="shared" ca="1" si="1"/>
        <v>0</v>
      </c>
      <c r="AA9" s="29">
        <f t="shared" ca="1" si="1"/>
        <v>0</v>
      </c>
      <c r="AB9" s="29">
        <f t="shared" ca="1" si="1"/>
        <v>0</v>
      </c>
      <c r="AC9" s="29">
        <f t="shared" ca="1" si="1"/>
        <v>0</v>
      </c>
      <c r="AD9" s="29">
        <f t="shared" ca="1" si="1"/>
        <v>0</v>
      </c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</row>
    <row r="10" spans="1:48" x14ac:dyDescent="0.3">
      <c r="A10" s="1">
        <v>9</v>
      </c>
      <c r="B10" s="24" t="s">
        <v>124</v>
      </c>
      <c r="C10" s="24" t="s">
        <v>69</v>
      </c>
      <c r="D10" s="24"/>
      <c r="E10" s="24" t="s">
        <v>7</v>
      </c>
      <c r="F10" s="24" t="s">
        <v>14</v>
      </c>
      <c r="G10" s="24" t="s">
        <v>3</v>
      </c>
      <c r="H10" s="25">
        <v>45383</v>
      </c>
      <c r="I10" s="24" t="s">
        <v>3473</v>
      </c>
      <c r="J10" s="24"/>
      <c r="K10" s="25"/>
      <c r="L10" s="1">
        <v>68</v>
      </c>
      <c r="M10" s="1">
        <v>0</v>
      </c>
      <c r="N10" s="14"/>
      <c r="O10" s="37"/>
      <c r="P10" s="37"/>
      <c r="Q10" s="37"/>
      <c r="R10" s="28" t="s">
        <v>3514</v>
      </c>
      <c r="S10" s="30">
        <f ca="1">HLOOKUP(R10,S1:AD9,9,0)</f>
        <v>7.1428571428571425E-2</v>
      </c>
      <c r="T10" s="39">
        <v>180</v>
      </c>
      <c r="U10" s="39">
        <f ca="1">T10*S10-1.5</f>
        <v>11.357142857142856</v>
      </c>
      <c r="V10" s="39">
        <v>3</v>
      </c>
      <c r="W10" s="39">
        <f ca="1">360-SUM(T10:V10)</f>
        <v>165.64285714285714</v>
      </c>
      <c r="Z10" s="3"/>
      <c r="AA10" s="38"/>
      <c r="AB10" s="38"/>
      <c r="AC10" s="38"/>
      <c r="AD10" s="38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</row>
    <row r="11" spans="1:48" x14ac:dyDescent="0.3">
      <c r="A11" s="1">
        <v>10</v>
      </c>
      <c r="B11" s="24" t="s">
        <v>122</v>
      </c>
      <c r="C11" s="24" t="s">
        <v>33</v>
      </c>
      <c r="D11" s="24"/>
      <c r="E11" s="24" t="s">
        <v>2</v>
      </c>
      <c r="F11" s="24" t="s">
        <v>4</v>
      </c>
      <c r="G11" s="24" t="s">
        <v>3</v>
      </c>
      <c r="H11" s="25">
        <v>45402</v>
      </c>
      <c r="I11" s="24" t="s">
        <v>3473</v>
      </c>
      <c r="J11" s="24"/>
      <c r="K11" s="25"/>
      <c r="L11" s="1">
        <v>49</v>
      </c>
      <c r="M11" s="1">
        <v>0</v>
      </c>
      <c r="N11" s="1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</row>
    <row r="12" spans="1:48" x14ac:dyDescent="0.3">
      <c r="A12" s="1">
        <v>11</v>
      </c>
      <c r="B12" s="24" t="s">
        <v>121</v>
      </c>
      <c r="C12" s="24" t="s">
        <v>67</v>
      </c>
      <c r="D12" s="24"/>
      <c r="E12" s="24" t="s">
        <v>21</v>
      </c>
      <c r="F12" s="24" t="s">
        <v>14</v>
      </c>
      <c r="G12" s="24" t="s">
        <v>3</v>
      </c>
      <c r="H12" s="25">
        <v>45402</v>
      </c>
      <c r="I12" s="24" t="s">
        <v>3473</v>
      </c>
      <c r="J12" s="24"/>
      <c r="K12" s="25"/>
      <c r="L12" s="1">
        <v>49</v>
      </c>
      <c r="M12" s="1">
        <v>0</v>
      </c>
      <c r="N12" s="14"/>
      <c r="O12" s="37"/>
      <c r="P12" s="37"/>
      <c r="Q12" s="37"/>
      <c r="R12" s="9" t="s">
        <v>3542</v>
      </c>
      <c r="AF12" s="16" t="s">
        <v>3538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</row>
    <row r="13" spans="1:48" x14ac:dyDescent="0.3">
      <c r="A13" s="1">
        <v>12</v>
      </c>
      <c r="B13" s="24" t="s">
        <v>125</v>
      </c>
      <c r="C13" s="24" t="s">
        <v>70</v>
      </c>
      <c r="D13" s="24" t="s">
        <v>71</v>
      </c>
      <c r="E13" s="24" t="s">
        <v>18</v>
      </c>
      <c r="F13" s="24" t="s">
        <v>4</v>
      </c>
      <c r="G13" s="24" t="s">
        <v>13</v>
      </c>
      <c r="H13" s="25">
        <v>45411</v>
      </c>
      <c r="I13" s="24" t="s">
        <v>3473</v>
      </c>
      <c r="J13" s="24"/>
      <c r="K13" s="25"/>
      <c r="L13" s="1">
        <v>40</v>
      </c>
      <c r="M13" s="1">
        <v>8</v>
      </c>
      <c r="N13" s="14"/>
      <c r="R13" s="33" t="s">
        <v>2852</v>
      </c>
      <c r="S13" s="17" cm="1">
        <f t="array" ref="S13">COUNTIFS(Apps[Appl_Date],"&gt;="&amp;start_month,Apps[Appl_Date],"&lt;="&amp;end_month,Apps[Result],"Passed")</f>
        <v>0</v>
      </c>
      <c r="T13" s="17" cm="1">
        <f t="array" ref="T13">COUNTIFS(Apps[Appl_Date],"&gt;="&amp;start_month,Apps[Appl_Date],"&lt;="&amp;end_month,Apps[Result],"Passed")</f>
        <v>2</v>
      </c>
      <c r="U13" s="17" cm="1">
        <f t="array" ref="U13">COUNTIFS(Apps[Appl_Date],"&gt;="&amp;start_month,Apps[Appl_Date],"&lt;="&amp;end_month,Apps[Result],"Passed")</f>
        <v>1</v>
      </c>
      <c r="V13" s="17" cm="1">
        <f t="array" ref="V13">COUNTIFS(Apps[Appl_Date],"&gt;="&amp;start_month,Apps[Appl_Date],"&lt;="&amp;end_month,Apps[Result],"Passed")</f>
        <v>3</v>
      </c>
      <c r="W13" s="17" cm="1">
        <f t="array" ref="W13">COUNTIFS(Apps[Appl_Date],"&gt;="&amp;start_month,Apps[Appl_Date],"&lt;="&amp;end_month,Apps[Result],"Passed")</f>
        <v>0</v>
      </c>
      <c r="X13" s="17" cm="1">
        <f t="array" ref="X13">COUNTIFS(Apps[Appl_Date],"&gt;="&amp;start_month,Apps[Appl_Date],"&lt;="&amp;end_month,Apps[Result],"Passed")</f>
        <v>0</v>
      </c>
      <c r="Y13" s="17" cm="1">
        <f t="array" ref="Y13">COUNTIFS(Apps[Appl_Date],"&gt;="&amp;start_month,Apps[Appl_Date],"&lt;="&amp;end_month,Apps[Result],"Passed")</f>
        <v>0</v>
      </c>
      <c r="Z13" s="17" cm="1">
        <f t="array" ref="Z13">COUNTIFS(Apps[Appl_Date],"&gt;="&amp;start_month,Apps[Appl_Date],"&lt;="&amp;end_month,Apps[Result],"Passed")</f>
        <v>0</v>
      </c>
      <c r="AA13" s="17" cm="1">
        <f t="array" ref="AA13">COUNTIFS(Apps[Appl_Date],"&gt;="&amp;start_month,Apps[Appl_Date],"&lt;="&amp;end_month,Apps[Result],"Passed")</f>
        <v>0</v>
      </c>
      <c r="AB13" s="17" cm="1">
        <f t="array" ref="AB13">COUNTIFS(Apps[Appl_Date],"&gt;="&amp;start_month,Apps[Appl_Date],"&lt;="&amp;end_month,Apps[Result],"Passed")</f>
        <v>0</v>
      </c>
      <c r="AC13" s="17" cm="1">
        <f t="array" ref="AC13">COUNTIFS(Apps[Appl_Date],"&gt;="&amp;start_month,Apps[Appl_Date],"&lt;="&amp;end_month,Apps[Result],"Passed")</f>
        <v>0</v>
      </c>
      <c r="AD13" s="17" cm="1">
        <f t="array" ref="AD13">COUNTIFS(Apps[Appl_Date],"&gt;="&amp;start_month,Apps[Appl_Date],"&lt;="&amp;end_month,Apps[Result],"Passed")</f>
        <v>0</v>
      </c>
      <c r="AE13" s="36">
        <f t="shared" ref="AE13:AE16" si="2">($AF$17-AF13)/2</f>
        <v>266.5</v>
      </c>
      <c r="AF13" s="31">
        <f t="shared" ref="AF13:AF16" si="3">SUM(S13:AD13)</f>
        <v>6</v>
      </c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</row>
    <row r="14" spans="1:48" x14ac:dyDescent="0.3">
      <c r="A14" s="1">
        <v>13</v>
      </c>
      <c r="B14" s="24" t="s">
        <v>126</v>
      </c>
      <c r="C14" s="24" t="s">
        <v>72</v>
      </c>
      <c r="D14" s="24" t="s">
        <v>73</v>
      </c>
      <c r="E14" s="24" t="s">
        <v>73</v>
      </c>
      <c r="F14" s="24" t="s">
        <v>14</v>
      </c>
      <c r="G14" s="24" t="s">
        <v>13</v>
      </c>
      <c r="H14" s="25">
        <v>45414</v>
      </c>
      <c r="I14" s="24" t="s">
        <v>3473</v>
      </c>
      <c r="J14" s="24"/>
      <c r="K14" s="25"/>
      <c r="L14" s="1">
        <v>37</v>
      </c>
      <c r="M14" s="1">
        <v>47</v>
      </c>
      <c r="N14" s="14"/>
      <c r="R14" s="33" t="s">
        <v>3537</v>
      </c>
      <c r="S14" s="17" cm="1">
        <f t="array" ref="S14">COUNTIFS(Apps[Appl_Date],"&gt;="&amp;start_month,Apps[Appl_Date],"&lt;="&amp;end_month,Apps[2_Interv],"&gt;0")</f>
        <v>10</v>
      </c>
      <c r="T14" s="17" cm="1">
        <f t="array" ref="T14">COUNTIFS(Apps[Appl_Date],"&gt;="&amp;start_month,Apps[Appl_Date],"&lt;="&amp;end_month,Apps[2_Interv],"&gt;0")</f>
        <v>9</v>
      </c>
      <c r="U14" s="17" cm="1">
        <f t="array" ref="U14">COUNTIFS(Apps[Appl_Date],"&gt;="&amp;start_month,Apps[Appl_Date],"&lt;="&amp;end_month,Apps[2_Interv],"&gt;0")</f>
        <v>6</v>
      </c>
      <c r="V14" s="17" cm="1">
        <f t="array" ref="V14">COUNTIFS(Apps[Appl_Date],"&gt;="&amp;start_month,Apps[Appl_Date],"&lt;="&amp;end_month,Apps[2_Interv],"&gt;0")</f>
        <v>3</v>
      </c>
      <c r="W14" s="17" cm="1">
        <f t="array" ref="W14">COUNTIFS(Apps[Appl_Date],"&gt;="&amp;start_month,Apps[Appl_Date],"&lt;="&amp;end_month,Apps[2_Interv],"&gt;0")</f>
        <v>0</v>
      </c>
      <c r="X14" s="17" cm="1">
        <f t="array" ref="X14">COUNTIFS(Apps[Appl_Date],"&gt;="&amp;start_month,Apps[Appl_Date],"&lt;="&amp;end_month,Apps[2_Interv],"&gt;0")</f>
        <v>0</v>
      </c>
      <c r="Y14" s="17" cm="1">
        <f t="array" ref="Y14">COUNTIFS(Apps[Appl_Date],"&gt;="&amp;start_month,Apps[Appl_Date],"&lt;="&amp;end_month,Apps[2_Interv],"&gt;0")</f>
        <v>0</v>
      </c>
      <c r="Z14" s="17" cm="1">
        <f t="array" ref="Z14">COUNTIFS(Apps[Appl_Date],"&gt;="&amp;start_month,Apps[Appl_Date],"&lt;="&amp;end_month,Apps[2_Interv],"&gt;0")</f>
        <v>0</v>
      </c>
      <c r="AA14" s="17" cm="1">
        <f t="array" ref="AA14">COUNTIFS(Apps[Appl_Date],"&gt;="&amp;start_month,Apps[Appl_Date],"&lt;="&amp;end_month,Apps[2_Interv],"&gt;0")</f>
        <v>0</v>
      </c>
      <c r="AB14" s="17" cm="1">
        <f t="array" ref="AB14">COUNTIFS(Apps[Appl_Date],"&gt;="&amp;start_month,Apps[Appl_Date],"&lt;="&amp;end_month,Apps[2_Interv],"&gt;0")</f>
        <v>0</v>
      </c>
      <c r="AC14" s="17" cm="1">
        <f t="array" ref="AC14">COUNTIFS(Apps[Appl_Date],"&gt;="&amp;start_month,Apps[Appl_Date],"&lt;="&amp;end_month,Apps[2_Interv],"&gt;0")</f>
        <v>0</v>
      </c>
      <c r="AD14" s="17" cm="1">
        <f t="array" ref="AD14">COUNTIFS(Apps[Appl_Date],"&gt;="&amp;start_month,Apps[Appl_Date],"&lt;="&amp;end_month,Apps[2_Interv],"&gt;0")</f>
        <v>0</v>
      </c>
      <c r="AE14" s="36">
        <f t="shared" si="2"/>
        <v>255.5</v>
      </c>
      <c r="AF14" s="31">
        <f t="shared" si="3"/>
        <v>28</v>
      </c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</row>
    <row r="15" spans="1:48" x14ac:dyDescent="0.3">
      <c r="A15" s="1">
        <v>14</v>
      </c>
      <c r="B15" s="24" t="s">
        <v>91</v>
      </c>
      <c r="C15" s="24" t="s">
        <v>27</v>
      </c>
      <c r="D15" s="24" t="s">
        <v>18</v>
      </c>
      <c r="E15" s="24" t="s">
        <v>18</v>
      </c>
      <c r="F15" s="24" t="s">
        <v>14</v>
      </c>
      <c r="G15" s="24" t="s">
        <v>19</v>
      </c>
      <c r="H15" s="25">
        <v>45231</v>
      </c>
      <c r="I15" s="24"/>
      <c r="J15" s="24" t="s">
        <v>3474</v>
      </c>
      <c r="K15" s="25">
        <v>45352</v>
      </c>
      <c r="L15" s="1">
        <v>121</v>
      </c>
      <c r="M15" s="1">
        <v>21</v>
      </c>
      <c r="N15" s="14"/>
      <c r="R15" s="33" t="s">
        <v>3536</v>
      </c>
      <c r="S15" s="17" cm="1">
        <f t="array" ref="S15">COUNTIFS(Apps[Appl_Date],"&gt;="&amp;start_month,Apps[Appl_Date],"&lt;="&amp;end_month,Apps[1_Interv],"&gt;0")</f>
        <v>54</v>
      </c>
      <c r="T15" s="17" cm="1">
        <f t="array" ref="T15">COUNTIFS(Apps[Appl_Date],"&gt;="&amp;start_month,Apps[Appl_Date],"&lt;="&amp;end_month,Apps[1_Interv],"&gt;0")</f>
        <v>36</v>
      </c>
      <c r="U15" s="17" cm="1">
        <f t="array" ref="U15">COUNTIFS(Apps[Appl_Date],"&gt;="&amp;start_month,Apps[Appl_Date],"&lt;="&amp;end_month,Apps[1_Interv],"&gt;0")</f>
        <v>29</v>
      </c>
      <c r="V15" s="17" cm="1">
        <f t="array" ref="V15">COUNTIFS(Apps[Appl_Date],"&gt;="&amp;start_month,Apps[Appl_Date],"&lt;="&amp;end_month,Apps[1_Interv],"&gt;0")</f>
        <v>24</v>
      </c>
      <c r="W15" s="17" cm="1">
        <f t="array" ref="W15">COUNTIFS(Apps[Appl_Date],"&gt;="&amp;start_month,Apps[Appl_Date],"&lt;="&amp;end_month,Apps[1_Interv],"&gt;0")</f>
        <v>0</v>
      </c>
      <c r="X15" s="17" cm="1">
        <f t="array" ref="X15">COUNTIFS(Apps[Appl_Date],"&gt;="&amp;start_month,Apps[Appl_Date],"&lt;="&amp;end_month,Apps[1_Interv],"&gt;0")</f>
        <v>0</v>
      </c>
      <c r="Y15" s="17" cm="1">
        <f t="array" ref="Y15">COUNTIFS(Apps[Appl_Date],"&gt;="&amp;start_month,Apps[Appl_Date],"&lt;="&amp;end_month,Apps[1_Interv],"&gt;0")</f>
        <v>0</v>
      </c>
      <c r="Z15" s="17" cm="1">
        <f t="array" ref="Z15">COUNTIFS(Apps[Appl_Date],"&gt;="&amp;start_month,Apps[Appl_Date],"&lt;="&amp;end_month,Apps[1_Interv],"&gt;0")</f>
        <v>0</v>
      </c>
      <c r="AA15" s="17" cm="1">
        <f t="array" ref="AA15">COUNTIFS(Apps[Appl_Date],"&gt;="&amp;start_month,Apps[Appl_Date],"&lt;="&amp;end_month,Apps[1_Interv],"&gt;0")</f>
        <v>0</v>
      </c>
      <c r="AB15" s="17" cm="1">
        <f t="array" ref="AB15">COUNTIFS(Apps[Appl_Date],"&gt;="&amp;start_month,Apps[Appl_Date],"&lt;="&amp;end_month,Apps[1_Interv],"&gt;0")</f>
        <v>0</v>
      </c>
      <c r="AC15" s="17" cm="1">
        <f t="array" ref="AC15">COUNTIFS(Apps[Appl_Date],"&gt;="&amp;start_month,Apps[Appl_Date],"&lt;="&amp;end_month,Apps[1_Interv],"&gt;0")</f>
        <v>0</v>
      </c>
      <c r="AD15" s="17" cm="1">
        <f t="array" ref="AD15">COUNTIFS(Apps[Appl_Date],"&gt;="&amp;start_month,Apps[Appl_Date],"&lt;="&amp;end_month,Apps[1_Interv],"&gt;0")</f>
        <v>0</v>
      </c>
      <c r="AE15" s="36">
        <f t="shared" si="2"/>
        <v>198</v>
      </c>
      <c r="AF15" s="31">
        <f t="shared" si="3"/>
        <v>143</v>
      </c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</row>
    <row r="16" spans="1:48" x14ac:dyDescent="0.3">
      <c r="A16" s="1">
        <v>15</v>
      </c>
      <c r="B16" s="24" t="s">
        <v>93</v>
      </c>
      <c r="C16" s="24" t="s">
        <v>29</v>
      </c>
      <c r="D16" s="24" t="s">
        <v>18</v>
      </c>
      <c r="E16" s="24" t="s">
        <v>18</v>
      </c>
      <c r="F16" s="24" t="s">
        <v>4</v>
      </c>
      <c r="G16" s="24" t="s">
        <v>13</v>
      </c>
      <c r="H16" s="25">
        <v>45292</v>
      </c>
      <c r="I16" s="24"/>
      <c r="J16" s="24" t="s">
        <v>3474</v>
      </c>
      <c r="K16" s="25">
        <v>45352</v>
      </c>
      <c r="L16" s="1">
        <v>60</v>
      </c>
      <c r="M16" s="1">
        <v>5</v>
      </c>
      <c r="N16" s="14"/>
      <c r="R16" s="33" t="s">
        <v>3524</v>
      </c>
      <c r="S16" s="17" cm="1">
        <f t="array" ref="S16">COUNTIFS(Apps[Appl_Date],"&gt;="&amp;start_month,Apps[Appl_Date],"&lt;="&amp;end_month,Apps[ShortListed],"Yes")</f>
        <v>55</v>
      </c>
      <c r="T16" s="17" cm="1">
        <f t="array" ref="T16">COUNTIFS(Apps[Appl_Date],"&gt;="&amp;start_month,Apps[Appl_Date],"&lt;="&amp;end_month,Apps[ShortListed],"Yes")</f>
        <v>36</v>
      </c>
      <c r="U16" s="17" cm="1">
        <f t="array" ref="U16">COUNTIFS(Apps[Appl_Date],"&gt;="&amp;start_month,Apps[Appl_Date],"&lt;="&amp;end_month,Apps[ShortListed],"Yes")</f>
        <v>29</v>
      </c>
      <c r="V16" s="17" cm="1">
        <f t="array" ref="V16">COUNTIFS(Apps[Appl_Date],"&gt;="&amp;start_month,Apps[Appl_Date],"&lt;="&amp;end_month,Apps[ShortListed],"Yes")</f>
        <v>34</v>
      </c>
      <c r="W16" s="17" cm="1">
        <f t="array" ref="W16">COUNTIFS(Apps[Appl_Date],"&gt;="&amp;start_month,Apps[Appl_Date],"&lt;="&amp;end_month,Apps[ShortListed],"Yes")</f>
        <v>4</v>
      </c>
      <c r="X16" s="17" cm="1">
        <f t="array" ref="X16">COUNTIFS(Apps[Appl_Date],"&gt;="&amp;start_month,Apps[Appl_Date],"&lt;="&amp;end_month,Apps[ShortListed],"Yes")</f>
        <v>0</v>
      </c>
      <c r="Y16" s="17" cm="1">
        <f t="array" ref="Y16">COUNTIFS(Apps[Appl_Date],"&gt;="&amp;start_month,Apps[Appl_Date],"&lt;="&amp;end_month,Apps[ShortListed],"Yes")</f>
        <v>0</v>
      </c>
      <c r="Z16" s="17" cm="1">
        <f t="array" ref="Z16">COUNTIFS(Apps[Appl_Date],"&gt;="&amp;start_month,Apps[Appl_Date],"&lt;="&amp;end_month,Apps[ShortListed],"Yes")</f>
        <v>0</v>
      </c>
      <c r="AA16" s="17" cm="1">
        <f t="array" ref="AA16">COUNTIFS(Apps[Appl_Date],"&gt;="&amp;start_month,Apps[Appl_Date],"&lt;="&amp;end_month,Apps[ShortListed],"Yes")</f>
        <v>0</v>
      </c>
      <c r="AB16" s="17" cm="1">
        <f t="array" ref="AB16">COUNTIFS(Apps[Appl_Date],"&gt;="&amp;start_month,Apps[Appl_Date],"&lt;="&amp;end_month,Apps[ShortListed],"Yes")</f>
        <v>0</v>
      </c>
      <c r="AC16" s="17" cm="1">
        <f t="array" ref="AC16">COUNTIFS(Apps[Appl_Date],"&gt;="&amp;start_month,Apps[Appl_Date],"&lt;="&amp;end_month,Apps[ShortListed],"Yes")</f>
        <v>0</v>
      </c>
      <c r="AD16" s="17" cm="1">
        <f t="array" ref="AD16">COUNTIFS(Apps[Appl_Date],"&gt;="&amp;start_month,Apps[Appl_Date],"&lt;="&amp;end_month,Apps[ShortListed],"Yes")</f>
        <v>0</v>
      </c>
      <c r="AE16" s="36">
        <f t="shared" si="2"/>
        <v>190.5</v>
      </c>
      <c r="AF16" s="31">
        <f t="shared" si="3"/>
        <v>158</v>
      </c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</row>
    <row r="17" spans="1:48" x14ac:dyDescent="0.3">
      <c r="A17" s="1">
        <v>16</v>
      </c>
      <c r="B17" s="24" t="s">
        <v>86</v>
      </c>
      <c r="C17" s="24" t="s">
        <v>20</v>
      </c>
      <c r="D17" s="24" t="s">
        <v>21</v>
      </c>
      <c r="E17" s="24" t="s">
        <v>21</v>
      </c>
      <c r="F17" s="24" t="s">
        <v>14</v>
      </c>
      <c r="G17" s="24" t="s">
        <v>3</v>
      </c>
      <c r="H17" s="25">
        <v>45292</v>
      </c>
      <c r="I17" s="24"/>
      <c r="J17" s="24" t="s">
        <v>3474</v>
      </c>
      <c r="K17" s="25">
        <v>45352</v>
      </c>
      <c r="L17" s="1">
        <v>60</v>
      </c>
      <c r="M17" s="1">
        <v>11</v>
      </c>
      <c r="N17" s="14"/>
      <c r="R17" s="33" t="s">
        <v>3535</v>
      </c>
      <c r="S17" s="17" cm="1">
        <f t="array" ref="S17">COUNTIFS(tblApp[Appl_Date],"&gt;="&amp;start_month,tblApp[Appl_Date],"&lt;="&amp;end_month)</f>
        <v>155</v>
      </c>
      <c r="T17" s="17" cm="1">
        <f t="array" ref="T17">COUNTIFS(tblApp[Appl_Date],"&gt;="&amp;start_month,tblApp[Appl_Date],"&lt;="&amp;end_month)</f>
        <v>54</v>
      </c>
      <c r="U17" s="17" cm="1">
        <f t="array" ref="U17">COUNTIFS(tblApp[Appl_Date],"&gt;="&amp;start_month,tblApp[Appl_Date],"&lt;="&amp;end_month)</f>
        <v>105</v>
      </c>
      <c r="V17" s="17" cm="1">
        <f t="array" ref="V17">COUNTIFS(tblApp[Appl_Date],"&gt;="&amp;start_month,tblApp[Appl_Date],"&lt;="&amp;end_month)</f>
        <v>184</v>
      </c>
      <c r="W17" s="17" cm="1">
        <f t="array" ref="W17">COUNTIFS(tblApp[Appl_Date],"&gt;="&amp;start_month,tblApp[Appl_Date],"&lt;="&amp;end_month)</f>
        <v>41</v>
      </c>
      <c r="X17" s="17" cm="1">
        <f t="array" ref="X17">COUNTIFS(tblApp[Appl_Date],"&gt;="&amp;start_month,tblApp[Appl_Date],"&lt;="&amp;end_month)</f>
        <v>0</v>
      </c>
      <c r="Y17" s="17" cm="1">
        <f t="array" ref="Y17">COUNTIFS(tblApp[Appl_Date],"&gt;="&amp;start_month,tblApp[Appl_Date],"&lt;="&amp;end_month)</f>
        <v>0</v>
      </c>
      <c r="Z17" s="17" cm="1">
        <f t="array" ref="Z17">COUNTIFS(tblApp[Appl_Date],"&gt;="&amp;start_month,tblApp[Appl_Date],"&lt;="&amp;end_month)</f>
        <v>0</v>
      </c>
      <c r="AA17" s="17" cm="1">
        <f t="array" ref="AA17">COUNTIFS(tblApp[Appl_Date],"&gt;="&amp;start_month,tblApp[Appl_Date],"&lt;="&amp;end_month)</f>
        <v>0</v>
      </c>
      <c r="AB17" s="17" cm="1">
        <f t="array" ref="AB17">COUNTIFS(tblApp[Appl_Date],"&gt;="&amp;start_month,tblApp[Appl_Date],"&lt;="&amp;end_month)</f>
        <v>0</v>
      </c>
      <c r="AC17" s="17" cm="1">
        <f t="array" ref="AC17">COUNTIFS(tblApp[Appl_Date],"&gt;="&amp;start_month,tblApp[Appl_Date],"&lt;="&amp;end_month)</f>
        <v>0</v>
      </c>
      <c r="AD17" s="17" cm="1">
        <f t="array" ref="AD17">COUNTIFS(tblApp[Appl_Date],"&gt;="&amp;start_month,tblApp[Appl_Date],"&lt;="&amp;end_month)</f>
        <v>0</v>
      </c>
      <c r="AE17" s="36">
        <f>($AF$17-AF17)/2</f>
        <v>0</v>
      </c>
      <c r="AF17" s="31">
        <f>SUM(S17:AD17)</f>
        <v>539</v>
      </c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</row>
    <row r="18" spans="1:48" x14ac:dyDescent="0.3">
      <c r="A18" s="1">
        <v>17</v>
      </c>
      <c r="B18" s="24" t="s">
        <v>112</v>
      </c>
      <c r="C18" s="24" t="s">
        <v>53</v>
      </c>
      <c r="D18" s="24" t="s">
        <v>43</v>
      </c>
      <c r="E18" s="24" t="s">
        <v>43</v>
      </c>
      <c r="F18" s="24" t="s">
        <v>14</v>
      </c>
      <c r="G18" s="24" t="s">
        <v>13</v>
      </c>
      <c r="H18" s="25">
        <v>45337</v>
      </c>
      <c r="I18" s="24"/>
      <c r="J18" s="24" t="s">
        <v>74</v>
      </c>
      <c r="K18" s="25">
        <v>45465</v>
      </c>
      <c r="L18" s="1">
        <v>128</v>
      </c>
      <c r="M18" s="1">
        <v>1</v>
      </c>
      <c r="N18" s="1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</row>
    <row r="19" spans="1:48" x14ac:dyDescent="0.3">
      <c r="A19" s="1">
        <v>18</v>
      </c>
      <c r="B19" s="24" t="s">
        <v>113</v>
      </c>
      <c r="C19" s="24" t="s">
        <v>54</v>
      </c>
      <c r="D19" s="24" t="s">
        <v>43</v>
      </c>
      <c r="E19" s="24" t="s">
        <v>43</v>
      </c>
      <c r="F19" s="24" t="s">
        <v>14</v>
      </c>
      <c r="G19" s="24" t="s">
        <v>13</v>
      </c>
      <c r="H19" s="25">
        <v>45341</v>
      </c>
      <c r="I19" s="24"/>
      <c r="J19" s="24" t="s">
        <v>74</v>
      </c>
      <c r="K19" s="25">
        <v>45434</v>
      </c>
      <c r="L19" s="1">
        <v>93</v>
      </c>
      <c r="M19" s="1">
        <v>0</v>
      </c>
      <c r="N19" s="14"/>
      <c r="R19" s="9" t="s">
        <v>3541</v>
      </c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</row>
    <row r="20" spans="1:48" x14ac:dyDescent="0.3">
      <c r="A20" s="1">
        <v>19</v>
      </c>
      <c r="B20" s="24" t="s">
        <v>85</v>
      </c>
      <c r="C20" s="24" t="s">
        <v>17</v>
      </c>
      <c r="D20" s="24" t="s">
        <v>18</v>
      </c>
      <c r="E20" s="24" t="s">
        <v>18</v>
      </c>
      <c r="F20" s="24" t="s">
        <v>4</v>
      </c>
      <c r="G20" s="24" t="s">
        <v>19</v>
      </c>
      <c r="H20" s="25">
        <v>45292</v>
      </c>
      <c r="I20" s="24"/>
      <c r="J20" s="24" t="s">
        <v>74</v>
      </c>
      <c r="K20" s="25">
        <v>45372</v>
      </c>
      <c r="L20" s="1">
        <v>80</v>
      </c>
      <c r="M20" s="1">
        <v>0</v>
      </c>
      <c r="N20" s="14"/>
      <c r="R20" s="33" t="s">
        <v>2847</v>
      </c>
      <c r="S20" s="17" cm="1">
        <f t="array" ref="S20">COUNTIFS(tblApp[Appl_Date],"&gt;="&amp;start_month,tblApp[Appl_Date],"&lt;="&amp;end_month,tblApp[Source],$R20)</f>
        <v>106</v>
      </c>
      <c r="T20" s="17" cm="1">
        <f t="array" ref="T20">COUNTIFS(tblApp[Appl_Date],"&gt;="&amp;start_month,tblApp[Appl_Date],"&lt;="&amp;end_month,tblApp[Source],$R20)</f>
        <v>2</v>
      </c>
      <c r="U20" s="17" cm="1">
        <f t="array" ref="U20">COUNTIFS(tblApp[Appl_Date],"&gt;="&amp;start_month,tblApp[Appl_Date],"&lt;="&amp;end_month,tblApp[Source],$R20)</f>
        <v>0</v>
      </c>
      <c r="V20" s="17" cm="1">
        <f t="array" ref="V20">COUNTIFS(tblApp[Appl_Date],"&gt;="&amp;start_month,tblApp[Appl_Date],"&lt;="&amp;end_month,tblApp[Source],$R20)</f>
        <v>120</v>
      </c>
      <c r="W20" s="17" cm="1">
        <f t="array" ref="W20">COUNTIFS(tblApp[Appl_Date],"&gt;="&amp;start_month,tblApp[Appl_Date],"&lt;="&amp;end_month,tblApp[Source],$R20)</f>
        <v>18</v>
      </c>
      <c r="X20" s="17" cm="1">
        <f t="array" ref="X20">COUNTIFS(tblApp[Appl_Date],"&gt;="&amp;start_month,tblApp[Appl_Date],"&lt;="&amp;end_month,tblApp[Source],$R20)</f>
        <v>0</v>
      </c>
      <c r="Y20" s="17" cm="1">
        <f t="array" ref="Y20">COUNTIFS(tblApp[Appl_Date],"&gt;="&amp;start_month,tblApp[Appl_Date],"&lt;="&amp;end_month,tblApp[Source],$R20)</f>
        <v>0</v>
      </c>
      <c r="Z20" s="17" cm="1">
        <f t="array" ref="Z20">COUNTIFS(tblApp[Appl_Date],"&gt;="&amp;start_month,tblApp[Appl_Date],"&lt;="&amp;end_month,tblApp[Source],$R20)</f>
        <v>0</v>
      </c>
      <c r="AA20" s="17" cm="1">
        <f t="array" ref="AA20">COUNTIFS(tblApp[Appl_Date],"&gt;="&amp;start_month,tblApp[Appl_Date],"&lt;="&amp;end_month,tblApp[Source],$R20)</f>
        <v>0</v>
      </c>
      <c r="AB20" s="17" cm="1">
        <f t="array" ref="AB20">COUNTIFS(tblApp[Appl_Date],"&gt;="&amp;start_month,tblApp[Appl_Date],"&lt;="&amp;end_month,tblApp[Source],$R20)</f>
        <v>0</v>
      </c>
      <c r="AC20" s="17" cm="1">
        <f t="array" ref="AC20">COUNTIFS(tblApp[Appl_Date],"&gt;="&amp;start_month,tblApp[Appl_Date],"&lt;="&amp;end_month,tblApp[Source],$R20)</f>
        <v>0</v>
      </c>
      <c r="AD20" s="17" cm="1">
        <f t="array" ref="AD20">COUNTIFS(tblApp[Appl_Date],"&gt;="&amp;start_month,tblApp[Appl_Date],"&lt;="&amp;end_month,tblApp[Source],$R20)</f>
        <v>0</v>
      </c>
      <c r="AE20" s="31">
        <f>SUM(S20:AD20)</f>
        <v>246</v>
      </c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</row>
    <row r="21" spans="1:48" x14ac:dyDescent="0.3">
      <c r="A21" s="1">
        <v>20</v>
      </c>
      <c r="B21" s="24" t="s">
        <v>92</v>
      </c>
      <c r="C21" s="24" t="s">
        <v>28</v>
      </c>
      <c r="D21" s="24" t="s">
        <v>18</v>
      </c>
      <c r="E21" s="24" t="s">
        <v>18</v>
      </c>
      <c r="F21" s="24" t="s">
        <v>4</v>
      </c>
      <c r="G21" s="24" t="s">
        <v>3</v>
      </c>
      <c r="H21" s="25">
        <v>45292</v>
      </c>
      <c r="I21" s="24"/>
      <c r="J21" s="24" t="s">
        <v>74</v>
      </c>
      <c r="K21" s="25">
        <v>45372</v>
      </c>
      <c r="L21" s="1">
        <v>80</v>
      </c>
      <c r="M21" s="1">
        <v>5</v>
      </c>
      <c r="N21" s="14"/>
      <c r="R21" s="33" t="s">
        <v>2848</v>
      </c>
      <c r="S21" s="17" cm="1">
        <f t="array" ref="S21">COUNTIFS(tblApp[Appl_Date],"&gt;="&amp;start_month,tblApp[Appl_Date],"&lt;="&amp;end_month,tblApp[Source],$R21)</f>
        <v>28</v>
      </c>
      <c r="T21" s="17" cm="1">
        <f t="array" ref="T21">COUNTIFS(tblApp[Appl_Date],"&gt;="&amp;start_month,tblApp[Appl_Date],"&lt;="&amp;end_month,tblApp[Source],$R21)</f>
        <v>30</v>
      </c>
      <c r="U21" s="17" cm="1">
        <f t="array" ref="U21">COUNTIFS(tblApp[Appl_Date],"&gt;="&amp;start_month,tblApp[Appl_Date],"&lt;="&amp;end_month,tblApp[Source],$R21)</f>
        <v>39</v>
      </c>
      <c r="V21" s="17" cm="1">
        <f t="array" ref="V21">COUNTIFS(tblApp[Appl_Date],"&gt;="&amp;start_month,tblApp[Appl_Date],"&lt;="&amp;end_month,tblApp[Source],$R21)</f>
        <v>27</v>
      </c>
      <c r="W21" s="17" cm="1">
        <f t="array" ref="W21">COUNTIFS(tblApp[Appl_Date],"&gt;="&amp;start_month,tblApp[Appl_Date],"&lt;="&amp;end_month,tblApp[Source],$R21)</f>
        <v>2</v>
      </c>
      <c r="X21" s="17" cm="1">
        <f t="array" ref="X21">COUNTIFS(tblApp[Appl_Date],"&gt;="&amp;start_month,tblApp[Appl_Date],"&lt;="&amp;end_month,tblApp[Source],$R21)</f>
        <v>0</v>
      </c>
      <c r="Y21" s="17" cm="1">
        <f t="array" ref="Y21">COUNTIFS(tblApp[Appl_Date],"&gt;="&amp;start_month,tblApp[Appl_Date],"&lt;="&amp;end_month,tblApp[Source],$R21)</f>
        <v>0</v>
      </c>
      <c r="Z21" s="17" cm="1">
        <f t="array" ref="Z21">COUNTIFS(tblApp[Appl_Date],"&gt;="&amp;start_month,tblApp[Appl_Date],"&lt;="&amp;end_month,tblApp[Source],$R21)</f>
        <v>0</v>
      </c>
      <c r="AA21" s="17" cm="1">
        <f t="array" ref="AA21">COUNTIFS(tblApp[Appl_Date],"&gt;="&amp;start_month,tblApp[Appl_Date],"&lt;="&amp;end_month,tblApp[Source],$R21)</f>
        <v>0</v>
      </c>
      <c r="AB21" s="17" cm="1">
        <f t="array" ref="AB21">COUNTIFS(tblApp[Appl_Date],"&gt;="&amp;start_month,tblApp[Appl_Date],"&lt;="&amp;end_month,tblApp[Source],$R21)</f>
        <v>0</v>
      </c>
      <c r="AC21" s="17" cm="1">
        <f t="array" ref="AC21">COUNTIFS(tblApp[Appl_Date],"&gt;="&amp;start_month,tblApp[Appl_Date],"&lt;="&amp;end_month,tblApp[Source],$R21)</f>
        <v>0</v>
      </c>
      <c r="AD21" s="17" cm="1">
        <f t="array" ref="AD21">COUNTIFS(tblApp[Appl_Date],"&gt;="&amp;start_month,tblApp[Appl_Date],"&lt;="&amp;end_month,tblApp[Source],$R21)</f>
        <v>0</v>
      </c>
      <c r="AE21" s="31">
        <f>SUM(S21:AD21)</f>
        <v>126</v>
      </c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</row>
    <row r="22" spans="1:48" x14ac:dyDescent="0.3">
      <c r="A22" s="1">
        <v>21</v>
      </c>
      <c r="B22" s="24" t="s">
        <v>104</v>
      </c>
      <c r="C22" s="24" t="s">
        <v>42</v>
      </c>
      <c r="D22" s="24" t="s">
        <v>43</v>
      </c>
      <c r="E22" s="24" t="s">
        <v>43</v>
      </c>
      <c r="F22" s="24" t="s">
        <v>4</v>
      </c>
      <c r="G22" s="24" t="s">
        <v>8</v>
      </c>
      <c r="H22" s="25">
        <v>45292</v>
      </c>
      <c r="I22" s="24"/>
      <c r="J22" s="24" t="s">
        <v>74</v>
      </c>
      <c r="K22" s="25">
        <v>45372</v>
      </c>
      <c r="L22" s="1">
        <v>80</v>
      </c>
      <c r="M22" s="1">
        <v>0</v>
      </c>
      <c r="N22" s="14"/>
      <c r="R22" s="33" t="s">
        <v>3539</v>
      </c>
      <c r="S22" s="17" cm="1">
        <f t="array" ref="S22">COUNTIFS(tblApp[Appl_Date],"&gt;="&amp;start_month,tblApp[Appl_Date],"&lt;="&amp;end_month,tblApp[Source],$R22)</f>
        <v>0</v>
      </c>
      <c r="T22" s="17" cm="1">
        <f t="array" ref="T22">COUNTIFS(tblApp[Appl_Date],"&gt;="&amp;start_month,tblApp[Appl_Date],"&lt;="&amp;end_month,tblApp[Source],$R22)</f>
        <v>3</v>
      </c>
      <c r="U22" s="17" cm="1">
        <f t="array" ref="U22">COUNTIFS(tblApp[Appl_Date],"&gt;="&amp;start_month,tblApp[Appl_Date],"&lt;="&amp;end_month,tblApp[Source],$R22)</f>
        <v>56</v>
      </c>
      <c r="V22" s="17" cm="1">
        <f t="array" ref="V22">COUNTIFS(tblApp[Appl_Date],"&gt;="&amp;start_month,tblApp[Appl_Date],"&lt;="&amp;end_month,tblApp[Source],$R22)</f>
        <v>28</v>
      </c>
      <c r="W22" s="17" cm="1">
        <f t="array" ref="W22">COUNTIFS(tblApp[Appl_Date],"&gt;="&amp;start_month,tblApp[Appl_Date],"&lt;="&amp;end_month,tblApp[Source],$R22)</f>
        <v>19</v>
      </c>
      <c r="X22" s="17" cm="1">
        <f t="array" ref="X22">COUNTIFS(tblApp[Appl_Date],"&gt;="&amp;start_month,tblApp[Appl_Date],"&lt;="&amp;end_month,tblApp[Source],$R22)</f>
        <v>0</v>
      </c>
      <c r="Y22" s="17" cm="1">
        <f t="array" ref="Y22">COUNTIFS(tblApp[Appl_Date],"&gt;="&amp;start_month,tblApp[Appl_Date],"&lt;="&amp;end_month,tblApp[Source],$R22)</f>
        <v>0</v>
      </c>
      <c r="Z22" s="17" cm="1">
        <f t="array" ref="Z22">COUNTIFS(tblApp[Appl_Date],"&gt;="&amp;start_month,tblApp[Appl_Date],"&lt;="&amp;end_month,tblApp[Source],$R22)</f>
        <v>0</v>
      </c>
      <c r="AA22" s="17" cm="1">
        <f t="array" ref="AA22">COUNTIFS(tblApp[Appl_Date],"&gt;="&amp;start_month,tblApp[Appl_Date],"&lt;="&amp;end_month,tblApp[Source],$R22)</f>
        <v>0</v>
      </c>
      <c r="AB22" s="17" cm="1">
        <f t="array" ref="AB22">COUNTIFS(tblApp[Appl_Date],"&gt;="&amp;start_month,tblApp[Appl_Date],"&lt;="&amp;end_month,tblApp[Source],$R22)</f>
        <v>0</v>
      </c>
      <c r="AC22" s="17" cm="1">
        <f t="array" ref="AC22">COUNTIFS(tblApp[Appl_Date],"&gt;="&amp;start_month,tblApp[Appl_Date],"&lt;="&amp;end_month,tblApp[Source],$R22)</f>
        <v>0</v>
      </c>
      <c r="AD22" s="17" cm="1">
        <f t="array" ref="AD22">COUNTIFS(tblApp[Appl_Date],"&gt;="&amp;start_month,tblApp[Appl_Date],"&lt;="&amp;end_month,tblApp[Source],$R22)</f>
        <v>0</v>
      </c>
      <c r="AE22" s="31">
        <f>SUM(S22:AD22)</f>
        <v>106</v>
      </c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</row>
    <row r="23" spans="1:48" x14ac:dyDescent="0.3">
      <c r="A23" s="1">
        <v>22</v>
      </c>
      <c r="B23" s="24" t="s">
        <v>106</v>
      </c>
      <c r="C23" s="24" t="s">
        <v>45</v>
      </c>
      <c r="D23" s="24" t="s">
        <v>18</v>
      </c>
      <c r="E23" s="24" t="s">
        <v>18</v>
      </c>
      <c r="F23" s="24" t="s">
        <v>4</v>
      </c>
      <c r="G23" s="24" t="s">
        <v>3</v>
      </c>
      <c r="H23" s="25">
        <v>45315</v>
      </c>
      <c r="I23" s="24" t="s">
        <v>3473</v>
      </c>
      <c r="J23" s="24" t="s">
        <v>74</v>
      </c>
      <c r="K23" s="25">
        <v>45372</v>
      </c>
      <c r="L23" s="1">
        <v>57</v>
      </c>
      <c r="M23" s="1">
        <v>20</v>
      </c>
      <c r="N23" s="14"/>
      <c r="R23" s="33" t="s">
        <v>2845</v>
      </c>
      <c r="S23" s="17" cm="1">
        <f t="array" ref="S23">COUNTIFS(tblApp[Appl_Date],"&gt;="&amp;start_month,tblApp[Appl_Date],"&lt;="&amp;end_month,tblApp[Source],$R23)</f>
        <v>9</v>
      </c>
      <c r="T23" s="17" cm="1">
        <f t="array" ref="T23">COUNTIFS(tblApp[Appl_Date],"&gt;="&amp;start_month,tblApp[Appl_Date],"&lt;="&amp;end_month,tblApp[Source],$R23)</f>
        <v>8</v>
      </c>
      <c r="U23" s="17" cm="1">
        <f t="array" ref="U23">COUNTIFS(tblApp[Appl_Date],"&gt;="&amp;start_month,tblApp[Appl_Date],"&lt;="&amp;end_month,tblApp[Source],$R23)</f>
        <v>6</v>
      </c>
      <c r="V23" s="17" cm="1">
        <f t="array" ref="V23">COUNTIFS(tblApp[Appl_Date],"&gt;="&amp;start_month,tblApp[Appl_Date],"&lt;="&amp;end_month,tblApp[Source],$R23)</f>
        <v>9</v>
      </c>
      <c r="W23" s="17" cm="1">
        <f t="array" ref="W23">COUNTIFS(tblApp[Appl_Date],"&gt;="&amp;start_month,tblApp[Appl_Date],"&lt;="&amp;end_month,tblApp[Source],$R23)</f>
        <v>1</v>
      </c>
      <c r="X23" s="17" cm="1">
        <f t="array" ref="X23">COUNTIFS(tblApp[Appl_Date],"&gt;="&amp;start_month,tblApp[Appl_Date],"&lt;="&amp;end_month,tblApp[Source],$R23)</f>
        <v>0</v>
      </c>
      <c r="Y23" s="17" cm="1">
        <f t="array" ref="Y23">COUNTIFS(tblApp[Appl_Date],"&gt;="&amp;start_month,tblApp[Appl_Date],"&lt;="&amp;end_month,tblApp[Source],$R23)</f>
        <v>0</v>
      </c>
      <c r="Z23" s="17" cm="1">
        <f t="array" ref="Z23">COUNTIFS(tblApp[Appl_Date],"&gt;="&amp;start_month,tblApp[Appl_Date],"&lt;="&amp;end_month,tblApp[Source],$R23)</f>
        <v>0</v>
      </c>
      <c r="AA23" s="17" cm="1">
        <f t="array" ref="AA23">COUNTIFS(tblApp[Appl_Date],"&gt;="&amp;start_month,tblApp[Appl_Date],"&lt;="&amp;end_month,tblApp[Source],$R23)</f>
        <v>0</v>
      </c>
      <c r="AB23" s="17" cm="1">
        <f t="array" ref="AB23">COUNTIFS(tblApp[Appl_Date],"&gt;="&amp;start_month,tblApp[Appl_Date],"&lt;="&amp;end_month,tblApp[Source],$R23)</f>
        <v>0</v>
      </c>
      <c r="AC23" s="17" cm="1">
        <f t="array" ref="AC23">COUNTIFS(tblApp[Appl_Date],"&gt;="&amp;start_month,tblApp[Appl_Date],"&lt;="&amp;end_month,tblApp[Source],$R23)</f>
        <v>0</v>
      </c>
      <c r="AD23" s="17" cm="1">
        <f t="array" ref="AD23">COUNTIFS(tblApp[Appl_Date],"&gt;="&amp;start_month,tblApp[Appl_Date],"&lt;="&amp;end_month,tblApp[Source],$R23)</f>
        <v>0</v>
      </c>
      <c r="AE23" s="31">
        <f>SUM(S23:AD23)</f>
        <v>33</v>
      </c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</row>
    <row r="24" spans="1:48" x14ac:dyDescent="0.3">
      <c r="A24" s="1">
        <v>23</v>
      </c>
      <c r="B24" s="24" t="s">
        <v>114</v>
      </c>
      <c r="C24" s="24" t="s">
        <v>55</v>
      </c>
      <c r="D24" s="24"/>
      <c r="E24" s="24" t="s">
        <v>56</v>
      </c>
      <c r="F24" s="24" t="s">
        <v>4</v>
      </c>
      <c r="G24" s="24" t="s">
        <v>8</v>
      </c>
      <c r="H24" s="25">
        <v>45351</v>
      </c>
      <c r="I24" s="24"/>
      <c r="J24" s="24" t="s">
        <v>74</v>
      </c>
      <c r="K24" s="25">
        <v>45386</v>
      </c>
      <c r="L24" s="1">
        <v>35</v>
      </c>
      <c r="M24" s="1">
        <v>25</v>
      </c>
      <c r="N24" s="14"/>
      <c r="R24" s="33" t="s">
        <v>2846</v>
      </c>
      <c r="S24" s="17" cm="1">
        <f t="array" ref="S24">COUNTIFS(tblApp[Appl_Date],"&gt;="&amp;start_month,tblApp[Appl_Date],"&lt;="&amp;end_month,tblApp[Source],$R24)</f>
        <v>7</v>
      </c>
      <c r="T24" s="17" cm="1">
        <f t="array" ref="T24">COUNTIFS(tblApp[Appl_Date],"&gt;="&amp;start_month,tblApp[Appl_Date],"&lt;="&amp;end_month,tblApp[Source],$R24)</f>
        <v>11</v>
      </c>
      <c r="U24" s="17" cm="1">
        <f t="array" ref="U24">COUNTIFS(tblApp[Appl_Date],"&gt;="&amp;start_month,tblApp[Appl_Date],"&lt;="&amp;end_month,tblApp[Source],$R24)</f>
        <v>4</v>
      </c>
      <c r="V24" s="17" cm="1">
        <f t="array" ref="V24">COUNTIFS(tblApp[Appl_Date],"&gt;="&amp;start_month,tblApp[Appl_Date],"&lt;="&amp;end_month,tblApp[Source],$R24)</f>
        <v>0</v>
      </c>
      <c r="W24" s="17" cm="1">
        <f t="array" ref="W24">COUNTIFS(tblApp[Appl_Date],"&gt;="&amp;start_month,tblApp[Appl_Date],"&lt;="&amp;end_month,tblApp[Source],$R24)</f>
        <v>0</v>
      </c>
      <c r="X24" s="17" cm="1">
        <f t="array" ref="X24">COUNTIFS(tblApp[Appl_Date],"&gt;="&amp;start_month,tblApp[Appl_Date],"&lt;="&amp;end_month,tblApp[Source],$R24)</f>
        <v>0</v>
      </c>
      <c r="Y24" s="17" cm="1">
        <f t="array" ref="Y24">COUNTIFS(tblApp[Appl_Date],"&gt;="&amp;start_month,tblApp[Appl_Date],"&lt;="&amp;end_month,tblApp[Source],$R24)</f>
        <v>0</v>
      </c>
      <c r="Z24" s="17" cm="1">
        <f t="array" ref="Z24">COUNTIFS(tblApp[Appl_Date],"&gt;="&amp;start_month,tblApp[Appl_Date],"&lt;="&amp;end_month,tblApp[Source],$R24)</f>
        <v>0</v>
      </c>
      <c r="AA24" s="17" cm="1">
        <f t="array" ref="AA24">COUNTIFS(tblApp[Appl_Date],"&gt;="&amp;start_month,tblApp[Appl_Date],"&lt;="&amp;end_month,tblApp[Source],$R24)</f>
        <v>0</v>
      </c>
      <c r="AB24" s="17" cm="1">
        <f t="array" ref="AB24">COUNTIFS(tblApp[Appl_Date],"&gt;="&amp;start_month,tblApp[Appl_Date],"&lt;="&amp;end_month,tblApp[Source],$R24)</f>
        <v>0</v>
      </c>
      <c r="AC24" s="17" cm="1">
        <f t="array" ref="AC24">COUNTIFS(tblApp[Appl_Date],"&gt;="&amp;start_month,tblApp[Appl_Date],"&lt;="&amp;end_month,tblApp[Source],$R24)</f>
        <v>0</v>
      </c>
      <c r="AD24" s="17" cm="1">
        <f t="array" ref="AD24">COUNTIFS(tblApp[Appl_Date],"&gt;="&amp;start_month,tblApp[Appl_Date],"&lt;="&amp;end_month,tblApp[Source],$R24)</f>
        <v>0</v>
      </c>
      <c r="AE24" s="31">
        <f t="shared" ref="AE24:AE25" si="4">SUM(S24:AD24)</f>
        <v>22</v>
      </c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</row>
    <row r="25" spans="1:48" x14ac:dyDescent="0.3">
      <c r="A25" s="1">
        <v>24</v>
      </c>
      <c r="B25" s="24" t="s">
        <v>110</v>
      </c>
      <c r="C25" s="24" t="s">
        <v>50</v>
      </c>
      <c r="D25" s="24" t="s">
        <v>10</v>
      </c>
      <c r="E25" s="24" t="s">
        <v>2</v>
      </c>
      <c r="F25" s="24" t="s">
        <v>4</v>
      </c>
      <c r="G25" s="24" t="s">
        <v>13</v>
      </c>
      <c r="H25" s="25">
        <v>45321</v>
      </c>
      <c r="I25" s="24"/>
      <c r="J25" s="24" t="s">
        <v>74</v>
      </c>
      <c r="K25" s="25">
        <v>45351</v>
      </c>
      <c r="L25" s="1">
        <v>30</v>
      </c>
      <c r="M25" s="1">
        <v>1</v>
      </c>
      <c r="N25" s="14"/>
      <c r="R25" s="33" t="s">
        <v>2849</v>
      </c>
      <c r="S25" s="17" cm="1">
        <f t="array" ref="S25">COUNTIFS(tblApp[Appl_Date],"&gt;="&amp;start_month,tblApp[Appl_Date],"&lt;="&amp;end_month,tblApp[Source],$R25)</f>
        <v>5</v>
      </c>
      <c r="T25" s="17" cm="1">
        <f t="array" ref="T25">COUNTIFS(tblApp[Appl_Date],"&gt;="&amp;start_month,tblApp[Appl_Date],"&lt;="&amp;end_month,tblApp[Source],$R25)</f>
        <v>0</v>
      </c>
      <c r="U25" s="17" cm="1">
        <f t="array" ref="U25">COUNTIFS(tblApp[Appl_Date],"&gt;="&amp;start_month,tblApp[Appl_Date],"&lt;="&amp;end_month,tblApp[Source],$R25)</f>
        <v>0</v>
      </c>
      <c r="V25" s="17" cm="1">
        <f t="array" ref="V25">COUNTIFS(tblApp[Appl_Date],"&gt;="&amp;start_month,tblApp[Appl_Date],"&lt;="&amp;end_month,tblApp[Source],$R25)</f>
        <v>0</v>
      </c>
      <c r="W25" s="17" cm="1">
        <f t="array" ref="W25">COUNTIFS(tblApp[Appl_Date],"&gt;="&amp;start_month,tblApp[Appl_Date],"&lt;="&amp;end_month,tblApp[Source],$R25)</f>
        <v>1</v>
      </c>
      <c r="X25" s="17" cm="1">
        <f t="array" ref="X25">COUNTIFS(tblApp[Appl_Date],"&gt;="&amp;start_month,tblApp[Appl_Date],"&lt;="&amp;end_month,tblApp[Source],$R25)</f>
        <v>0</v>
      </c>
      <c r="Y25" s="17" cm="1">
        <f t="array" ref="Y25">COUNTIFS(tblApp[Appl_Date],"&gt;="&amp;start_month,tblApp[Appl_Date],"&lt;="&amp;end_month,tblApp[Source],$R25)</f>
        <v>0</v>
      </c>
      <c r="Z25" s="17" cm="1">
        <f t="array" ref="Z25">COUNTIFS(tblApp[Appl_Date],"&gt;="&amp;start_month,tblApp[Appl_Date],"&lt;="&amp;end_month,tblApp[Source],$R25)</f>
        <v>0</v>
      </c>
      <c r="AA25" s="17" cm="1">
        <f t="array" ref="AA25">COUNTIFS(tblApp[Appl_Date],"&gt;="&amp;start_month,tblApp[Appl_Date],"&lt;="&amp;end_month,tblApp[Source],$R25)</f>
        <v>0</v>
      </c>
      <c r="AB25" s="17" cm="1">
        <f t="array" ref="AB25">COUNTIFS(tblApp[Appl_Date],"&gt;="&amp;start_month,tblApp[Appl_Date],"&lt;="&amp;end_month,tblApp[Source],$R25)</f>
        <v>0</v>
      </c>
      <c r="AC25" s="17" cm="1">
        <f t="array" ref="AC25">COUNTIFS(tblApp[Appl_Date],"&gt;="&amp;start_month,tblApp[Appl_Date],"&lt;="&amp;end_month,tblApp[Source],$R25)</f>
        <v>0</v>
      </c>
      <c r="AD25" s="17" cm="1">
        <f t="array" ref="AD25">COUNTIFS(tblApp[Appl_Date],"&gt;="&amp;start_month,tblApp[Appl_Date],"&lt;="&amp;end_month,tblApp[Source],$R25)</f>
        <v>0</v>
      </c>
      <c r="AE25" s="31">
        <f t="shared" si="4"/>
        <v>6</v>
      </c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</row>
    <row r="26" spans="1:48" x14ac:dyDescent="0.3">
      <c r="A26" s="1">
        <v>25</v>
      </c>
      <c r="B26" s="24" t="s">
        <v>109</v>
      </c>
      <c r="C26" s="24" t="s">
        <v>49</v>
      </c>
      <c r="D26" s="24" t="s">
        <v>10</v>
      </c>
      <c r="E26" s="24" t="s">
        <v>2</v>
      </c>
      <c r="F26" s="24" t="s">
        <v>4</v>
      </c>
      <c r="G26" s="24" t="s">
        <v>13</v>
      </c>
      <c r="H26" s="25">
        <v>45321</v>
      </c>
      <c r="I26" s="24"/>
      <c r="J26" s="24" t="s">
        <v>74</v>
      </c>
      <c r="K26" s="25">
        <v>45351</v>
      </c>
      <c r="L26" s="1">
        <v>30</v>
      </c>
      <c r="M26" s="1">
        <v>0</v>
      </c>
      <c r="N26" s="14"/>
      <c r="R26" s="33" t="s">
        <v>3543</v>
      </c>
      <c r="S26" s="17" cm="1">
        <f t="array" ref="S26">COUNTIFS(tblApp[Appl_Date],"&gt;="&amp;start_month,tblApp[Appl_Date],"&lt;="&amp;end_month,tblApp[Source],$R26)</f>
        <v>0</v>
      </c>
      <c r="T26" s="17" cm="1">
        <f t="array" ref="T26">COUNTIFS(tblApp[Appl_Date],"&gt;="&amp;start_month,tblApp[Appl_Date],"&lt;="&amp;end_month,tblApp[Source],$R26)</f>
        <v>0</v>
      </c>
      <c r="U26" s="17" cm="1">
        <f t="array" ref="U26">COUNTIFS(tblApp[Appl_Date],"&gt;="&amp;start_month,tblApp[Appl_Date],"&lt;="&amp;end_month,tblApp[Source],$R26)</f>
        <v>0</v>
      </c>
      <c r="V26" s="17" cm="1">
        <f t="array" ref="V26">COUNTIFS(tblApp[Appl_Date],"&gt;="&amp;start_month,tblApp[Appl_Date],"&lt;="&amp;end_month,tblApp[Source],$R26)</f>
        <v>0</v>
      </c>
      <c r="W26" s="17" cm="1">
        <f t="array" ref="W26">COUNTIFS(tblApp[Appl_Date],"&gt;="&amp;start_month,tblApp[Appl_Date],"&lt;="&amp;end_month,tblApp[Source],$R26)</f>
        <v>0</v>
      </c>
      <c r="X26" s="17" cm="1">
        <f t="array" ref="X26">COUNTIFS(tblApp[Appl_Date],"&gt;="&amp;start_month,tblApp[Appl_Date],"&lt;="&amp;end_month,tblApp[Source],$R26)</f>
        <v>0</v>
      </c>
      <c r="Y26" s="17" cm="1">
        <f t="array" ref="Y26">COUNTIFS(tblApp[Appl_Date],"&gt;="&amp;start_month,tblApp[Appl_Date],"&lt;="&amp;end_month,tblApp[Source],$R26)</f>
        <v>0</v>
      </c>
      <c r="Z26" s="17" cm="1">
        <f t="array" ref="Z26">COUNTIFS(tblApp[Appl_Date],"&gt;="&amp;start_month,tblApp[Appl_Date],"&lt;="&amp;end_month,tblApp[Source],$R26)</f>
        <v>0</v>
      </c>
      <c r="AA26" s="17" cm="1">
        <f t="array" ref="AA26">COUNTIFS(tblApp[Appl_Date],"&gt;="&amp;start_month,tblApp[Appl_Date],"&lt;="&amp;end_month,tblApp[Source],$R26)</f>
        <v>0</v>
      </c>
      <c r="AB26" s="17" cm="1">
        <f t="array" ref="AB26">COUNTIFS(tblApp[Appl_Date],"&gt;="&amp;start_month,tblApp[Appl_Date],"&lt;="&amp;end_month,tblApp[Source],$R26)</f>
        <v>0</v>
      </c>
      <c r="AC26" s="17" cm="1">
        <f t="array" ref="AC26">COUNTIFS(tblApp[Appl_Date],"&gt;="&amp;start_month,tblApp[Appl_Date],"&lt;="&amp;end_month,tblApp[Source],$R26)</f>
        <v>0</v>
      </c>
      <c r="AD26" s="17" cm="1">
        <f t="array" ref="AD26">COUNTIFS(tblApp[Appl_Date],"&gt;="&amp;start_month,tblApp[Appl_Date],"&lt;="&amp;end_month,tblApp[Source],$R26)</f>
        <v>0</v>
      </c>
      <c r="AE26" s="31">
        <f t="shared" ref="AE26" si="5">SUM(S26:AD26)</f>
        <v>0</v>
      </c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</row>
    <row r="27" spans="1:48" x14ac:dyDescent="0.3">
      <c r="A27" s="1">
        <v>26</v>
      </c>
      <c r="B27" s="24" t="s">
        <v>127</v>
      </c>
      <c r="C27" s="24" t="s">
        <v>0</v>
      </c>
      <c r="D27" s="24" t="s">
        <v>1</v>
      </c>
      <c r="E27" s="24" t="s">
        <v>2</v>
      </c>
      <c r="F27" s="24" t="s">
        <v>4</v>
      </c>
      <c r="G27" s="24" t="s">
        <v>3</v>
      </c>
      <c r="H27" s="25">
        <v>45350</v>
      </c>
      <c r="I27" s="24"/>
      <c r="J27" s="24" t="s">
        <v>74</v>
      </c>
      <c r="K27" s="25">
        <v>45372</v>
      </c>
      <c r="L27" s="1">
        <v>22</v>
      </c>
      <c r="M27" s="1">
        <v>0</v>
      </c>
      <c r="N27" s="1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</row>
    <row r="28" spans="1:48" x14ac:dyDescent="0.3">
      <c r="A28" s="1">
        <v>27</v>
      </c>
      <c r="B28" s="24" t="s">
        <v>102</v>
      </c>
      <c r="C28" s="24" t="s">
        <v>40</v>
      </c>
      <c r="D28" s="24" t="s">
        <v>34</v>
      </c>
      <c r="E28" s="24" t="s">
        <v>2</v>
      </c>
      <c r="F28" s="24" t="s">
        <v>14</v>
      </c>
      <c r="G28" s="24" t="s">
        <v>3</v>
      </c>
      <c r="H28" s="25">
        <v>45324</v>
      </c>
      <c r="I28" s="24"/>
      <c r="J28" s="24" t="s">
        <v>74</v>
      </c>
      <c r="K28" s="25">
        <v>45345</v>
      </c>
      <c r="L28" s="1">
        <v>21</v>
      </c>
      <c r="M28" s="1">
        <v>0</v>
      </c>
      <c r="N28" s="14"/>
      <c r="R28" s="9" t="s">
        <v>3540</v>
      </c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</row>
    <row r="29" spans="1:48" x14ac:dyDescent="0.3">
      <c r="A29" s="1">
        <v>28</v>
      </c>
      <c r="B29" s="24" t="s">
        <v>76</v>
      </c>
      <c r="C29" s="24" t="s">
        <v>0</v>
      </c>
      <c r="D29" s="24" t="s">
        <v>1</v>
      </c>
      <c r="E29" s="24" t="s">
        <v>2</v>
      </c>
      <c r="F29" s="24" t="s">
        <v>4</v>
      </c>
      <c r="G29" s="24" t="s">
        <v>3</v>
      </c>
      <c r="H29" s="25">
        <v>45292</v>
      </c>
      <c r="I29" s="24"/>
      <c r="J29" s="24" t="s">
        <v>74</v>
      </c>
      <c r="K29" s="25">
        <v>45308</v>
      </c>
      <c r="L29" s="1">
        <v>16</v>
      </c>
      <c r="M29" s="1">
        <v>0</v>
      </c>
      <c r="N29" s="14"/>
      <c r="R29" s="26" t="s">
        <v>3500</v>
      </c>
      <c r="S29" s="17" cm="1">
        <f t="array" ref="S29">COUNTIFS(Apps[1_Interv],"&gt;="&amp;start_month,Apps[1_Interv],"&lt;="&amp;end_month)</f>
        <v>49</v>
      </c>
      <c r="T29" s="17" cm="1">
        <f t="array" ref="T29">COUNTIFS(Apps[1_Interv],"&gt;="&amp;start_month,Apps[1_Interv],"&lt;="&amp;end_month)</f>
        <v>38</v>
      </c>
      <c r="U29" s="17" cm="1">
        <f t="array" ref="U29">COUNTIFS(Apps[1_Interv],"&gt;="&amp;start_month,Apps[1_Interv],"&lt;="&amp;end_month)</f>
        <v>26</v>
      </c>
      <c r="V29" s="17" cm="1">
        <f t="array" ref="V29">COUNTIFS(Apps[1_Interv],"&gt;="&amp;start_month,Apps[1_Interv],"&lt;="&amp;end_month)</f>
        <v>27</v>
      </c>
      <c r="W29" s="17" cm="1">
        <f t="array" ref="W29">COUNTIFS(Apps[1_Interv],"&gt;="&amp;start_month,Apps[1_Interv],"&lt;="&amp;end_month)</f>
        <v>3</v>
      </c>
      <c r="X29" s="17" cm="1">
        <f t="array" ref="X29">COUNTIFS(Apps[1_Interv],"&gt;="&amp;start_month,Apps[1_Interv],"&lt;="&amp;end_month)</f>
        <v>0</v>
      </c>
      <c r="Y29" s="17" cm="1">
        <f t="array" ref="Y29">COUNTIFS(Apps[1_Interv],"&gt;="&amp;start_month,Apps[1_Interv],"&lt;="&amp;end_month)</f>
        <v>0</v>
      </c>
      <c r="Z29" s="17" cm="1">
        <f t="array" ref="Z29">COUNTIFS(Apps[1_Interv],"&gt;="&amp;start_month,Apps[1_Interv],"&lt;="&amp;end_month)</f>
        <v>0</v>
      </c>
      <c r="AA29" s="17" cm="1">
        <f t="array" ref="AA29">COUNTIFS(Apps[1_Interv],"&gt;="&amp;start_month,Apps[1_Interv],"&lt;="&amp;end_month)</f>
        <v>0</v>
      </c>
      <c r="AB29" s="17" cm="1">
        <f t="array" ref="AB29">COUNTIFS(Apps[1_Interv],"&gt;="&amp;start_month,Apps[1_Interv],"&lt;="&amp;end_month)</f>
        <v>0</v>
      </c>
      <c r="AC29" s="17" cm="1">
        <f t="array" ref="AC29">COUNTIFS(Apps[1_Interv],"&gt;="&amp;start_month,Apps[1_Interv],"&lt;="&amp;end_month)</f>
        <v>0</v>
      </c>
      <c r="AD29" s="18" cm="1">
        <f t="array" ref="AD29">COUNTIFS(Apps[1_Interv],"&gt;="&amp;start_month,Apps[1_Interv],"&lt;="&amp;end_month)</f>
        <v>0</v>
      </c>
      <c r="AE29" s="31">
        <f>SUM(S29:AD29)</f>
        <v>143</v>
      </c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</row>
    <row r="30" spans="1:48" x14ac:dyDescent="0.3">
      <c r="A30" s="1">
        <v>29</v>
      </c>
      <c r="B30" s="24" t="s">
        <v>116</v>
      </c>
      <c r="C30" s="24" t="s">
        <v>59</v>
      </c>
      <c r="D30" s="24" t="s">
        <v>60</v>
      </c>
      <c r="E30" s="24" t="s">
        <v>61</v>
      </c>
      <c r="F30" s="24" t="s">
        <v>4</v>
      </c>
      <c r="G30" s="24" t="s">
        <v>13</v>
      </c>
      <c r="H30" s="25">
        <v>45358</v>
      </c>
      <c r="I30" s="24"/>
      <c r="J30" s="24" t="s">
        <v>74</v>
      </c>
      <c r="K30" s="25">
        <v>45372</v>
      </c>
      <c r="L30" s="1">
        <v>14</v>
      </c>
      <c r="M30" s="1">
        <v>0</v>
      </c>
      <c r="N30" s="14"/>
      <c r="R30" s="26" t="s">
        <v>3501</v>
      </c>
      <c r="S30" s="17" cm="1">
        <f t="array" ref="S30">COUNTIFS(Apps[2_Interv],"&gt;="&amp;start_month,Apps[2_Interv],"&lt;="&amp;end_month)</f>
        <v>6</v>
      </c>
      <c r="T30" s="17" cm="1">
        <f t="array" ref="T30">COUNTIFS(Apps[2_Interv],"&gt;="&amp;start_month,Apps[2_Interv],"&lt;="&amp;end_month)</f>
        <v>7</v>
      </c>
      <c r="U30" s="17" cm="1">
        <f t="array" ref="U30">COUNTIFS(Apps[2_Interv],"&gt;="&amp;start_month,Apps[2_Interv],"&lt;="&amp;end_month)</f>
        <v>7</v>
      </c>
      <c r="V30" s="17" cm="1">
        <f t="array" ref="V30">COUNTIFS(Apps[2_Interv],"&gt;="&amp;start_month,Apps[2_Interv],"&lt;="&amp;end_month)</f>
        <v>7</v>
      </c>
      <c r="W30" s="17" cm="1">
        <f t="array" ref="W30">COUNTIFS(Apps[2_Interv],"&gt;="&amp;start_month,Apps[2_Interv],"&lt;="&amp;end_month)</f>
        <v>1</v>
      </c>
      <c r="X30" s="17" cm="1">
        <f t="array" ref="X30">COUNTIFS(Apps[2_Interv],"&gt;="&amp;start_month,Apps[2_Interv],"&lt;="&amp;end_month)</f>
        <v>0</v>
      </c>
      <c r="Y30" s="17" cm="1">
        <f t="array" ref="Y30">COUNTIFS(Apps[2_Interv],"&gt;="&amp;start_month,Apps[2_Interv],"&lt;="&amp;end_month)</f>
        <v>0</v>
      </c>
      <c r="Z30" s="17" cm="1">
        <f t="array" ref="Z30">COUNTIFS(Apps[2_Interv],"&gt;="&amp;start_month,Apps[2_Interv],"&lt;="&amp;end_month)</f>
        <v>0</v>
      </c>
      <c r="AA30" s="17" cm="1">
        <f t="array" ref="AA30">COUNTIFS(Apps[2_Interv],"&gt;="&amp;start_month,Apps[2_Interv],"&lt;="&amp;end_month)</f>
        <v>0</v>
      </c>
      <c r="AB30" s="17" cm="1">
        <f t="array" ref="AB30">COUNTIFS(Apps[2_Interv],"&gt;="&amp;start_month,Apps[2_Interv],"&lt;="&amp;end_month)</f>
        <v>0</v>
      </c>
      <c r="AC30" s="17" cm="1">
        <f t="array" ref="AC30">COUNTIFS(Apps[2_Interv],"&gt;="&amp;start_month,Apps[2_Interv],"&lt;="&amp;end_month)</f>
        <v>0</v>
      </c>
      <c r="AD30" s="18" cm="1">
        <f t="array" ref="AD30">COUNTIFS(Apps[2_Interv],"&gt;="&amp;start_month,Apps[2_Interv],"&lt;="&amp;end_month)</f>
        <v>0</v>
      </c>
      <c r="AE30" s="31">
        <f>SUM(S30:AD30)</f>
        <v>28</v>
      </c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</row>
    <row r="31" spans="1:48" x14ac:dyDescent="0.3">
      <c r="A31" s="1">
        <v>30</v>
      </c>
      <c r="B31" s="24" t="s">
        <v>101</v>
      </c>
      <c r="C31" s="24" t="s">
        <v>38</v>
      </c>
      <c r="D31" s="24" t="s">
        <v>39</v>
      </c>
      <c r="E31" s="24" t="s">
        <v>39</v>
      </c>
      <c r="F31" s="24" t="s">
        <v>4</v>
      </c>
      <c r="G31" s="24" t="s">
        <v>8</v>
      </c>
      <c r="H31" s="25">
        <v>45296</v>
      </c>
      <c r="I31" s="24"/>
      <c r="J31" s="24" t="s">
        <v>74</v>
      </c>
      <c r="K31" s="25">
        <v>45308</v>
      </c>
      <c r="L31" s="1">
        <v>12</v>
      </c>
      <c r="M31" s="1">
        <v>0</v>
      </c>
      <c r="N31" s="14"/>
      <c r="R31" s="26" t="s">
        <v>3538</v>
      </c>
      <c r="S31" s="31">
        <f>SUM(S29:S30)</f>
        <v>55</v>
      </c>
      <c r="T31" s="31">
        <f t="shared" ref="T31:AD31" si="6">SUM(T29:T30)</f>
        <v>45</v>
      </c>
      <c r="U31" s="31">
        <f t="shared" si="6"/>
        <v>33</v>
      </c>
      <c r="V31" s="31">
        <f t="shared" si="6"/>
        <v>34</v>
      </c>
      <c r="W31" s="31">
        <f t="shared" si="6"/>
        <v>4</v>
      </c>
      <c r="X31" s="31">
        <f t="shared" si="6"/>
        <v>0</v>
      </c>
      <c r="Y31" s="31">
        <f t="shared" si="6"/>
        <v>0</v>
      </c>
      <c r="Z31" s="31">
        <f t="shared" si="6"/>
        <v>0</v>
      </c>
      <c r="AA31" s="31">
        <f t="shared" si="6"/>
        <v>0</v>
      </c>
      <c r="AB31" s="31">
        <f t="shared" si="6"/>
        <v>0</v>
      </c>
      <c r="AC31" s="31">
        <f t="shared" si="6"/>
        <v>0</v>
      </c>
      <c r="AD31" s="31">
        <f t="shared" si="6"/>
        <v>0</v>
      </c>
      <c r="AE31" s="31">
        <f t="shared" ref="AE31" si="7">SUM(S31:AD31)</f>
        <v>171</v>
      </c>
    </row>
    <row r="32" spans="1:48" x14ac:dyDescent="0.3">
      <c r="A32" s="1">
        <v>31</v>
      </c>
      <c r="B32" s="24" t="s">
        <v>115</v>
      </c>
      <c r="C32" s="24" t="s">
        <v>57</v>
      </c>
      <c r="D32" s="24"/>
      <c r="E32" s="24" t="s">
        <v>58</v>
      </c>
      <c r="F32" s="24" t="s">
        <v>14</v>
      </c>
      <c r="G32" s="24" t="s">
        <v>13</v>
      </c>
      <c r="H32" s="25">
        <v>45364</v>
      </c>
      <c r="I32" s="24"/>
      <c r="J32" s="24" t="s">
        <v>74</v>
      </c>
      <c r="K32" s="25">
        <v>45372</v>
      </c>
      <c r="L32" s="1">
        <v>8</v>
      </c>
      <c r="M32" s="1">
        <v>9</v>
      </c>
      <c r="N32" s="14"/>
    </row>
    <row r="33" spans="1:19" x14ac:dyDescent="0.3">
      <c r="A33" s="1">
        <v>32</v>
      </c>
      <c r="B33" s="24" t="s">
        <v>96</v>
      </c>
      <c r="C33" s="24" t="s">
        <v>32</v>
      </c>
      <c r="D33" s="24" t="s">
        <v>10</v>
      </c>
      <c r="E33" s="24" t="s">
        <v>2</v>
      </c>
      <c r="F33" s="24" t="s">
        <v>4</v>
      </c>
      <c r="G33" s="24" t="s">
        <v>3</v>
      </c>
      <c r="H33" s="25">
        <v>45292</v>
      </c>
      <c r="I33" s="24" t="s">
        <v>3473</v>
      </c>
      <c r="J33" s="24" t="s">
        <v>74</v>
      </c>
      <c r="K33" s="25">
        <v>45295</v>
      </c>
      <c r="L33" s="1">
        <v>3</v>
      </c>
      <c r="M33" s="1">
        <v>0</v>
      </c>
      <c r="N33" s="14"/>
      <c r="R33" s="9" t="s">
        <v>3544</v>
      </c>
      <c r="S33" s="7" t="s">
        <v>3546</v>
      </c>
    </row>
    <row r="34" spans="1:19" x14ac:dyDescent="0.3">
      <c r="A34" s="1">
        <v>33</v>
      </c>
      <c r="B34" s="24" t="s">
        <v>111</v>
      </c>
      <c r="C34" s="24" t="s">
        <v>51</v>
      </c>
      <c r="D34" s="24" t="s">
        <v>52</v>
      </c>
      <c r="E34" s="24" t="s">
        <v>2</v>
      </c>
      <c r="F34" s="24" t="s">
        <v>4</v>
      </c>
      <c r="G34" s="24" t="s">
        <v>3</v>
      </c>
      <c r="H34" s="25">
        <v>45324</v>
      </c>
      <c r="I34" s="24"/>
      <c r="J34" s="24" t="s">
        <v>74</v>
      </c>
      <c r="K34" s="25">
        <v>45324</v>
      </c>
      <c r="L34" s="1">
        <v>0</v>
      </c>
      <c r="M34" s="1">
        <v>0</v>
      </c>
      <c r="N34" s="14"/>
      <c r="R34" s="32" t="s">
        <v>3545</v>
      </c>
      <c r="S34" s="3">
        <f>COUNTIFS(tblApp[Result],"",tblApp[Status],"Pending")</f>
        <v>348</v>
      </c>
    </row>
    <row r="35" spans="1:19" x14ac:dyDescent="0.3">
      <c r="A35" s="1">
        <v>34</v>
      </c>
      <c r="B35" s="24" t="s">
        <v>83</v>
      </c>
      <c r="C35" s="24" t="s">
        <v>11</v>
      </c>
      <c r="D35" s="24" t="s">
        <v>12</v>
      </c>
      <c r="E35" s="24" t="s">
        <v>12</v>
      </c>
      <c r="F35" s="24" t="s">
        <v>14</v>
      </c>
      <c r="G35" s="24" t="s">
        <v>13</v>
      </c>
      <c r="H35" s="25">
        <v>45200</v>
      </c>
      <c r="I35" s="24"/>
      <c r="J35" s="24" t="s">
        <v>75</v>
      </c>
      <c r="K35" s="25">
        <v>45323</v>
      </c>
      <c r="L35" s="1">
        <v>123</v>
      </c>
      <c r="M35" s="1">
        <v>0</v>
      </c>
      <c r="N35" s="14"/>
      <c r="R35" s="32" t="s">
        <v>3500</v>
      </c>
      <c r="S35" s="3">
        <f>COUNTIFS(tblApp[Result],"",tblApp[Status],"Shortlisted")</f>
        <v>24</v>
      </c>
    </row>
    <row r="36" spans="1:19" x14ac:dyDescent="0.3">
      <c r="A36" s="1">
        <v>35</v>
      </c>
      <c r="B36" s="24" t="s">
        <v>81</v>
      </c>
      <c r="C36" s="24" t="s">
        <v>11</v>
      </c>
      <c r="D36" s="24" t="s">
        <v>12</v>
      </c>
      <c r="E36" s="24" t="s">
        <v>12</v>
      </c>
      <c r="F36" s="24" t="s">
        <v>14</v>
      </c>
      <c r="G36" s="24" t="s">
        <v>13</v>
      </c>
      <c r="H36" s="25">
        <v>45200</v>
      </c>
      <c r="I36" s="24"/>
      <c r="J36" s="24" t="s">
        <v>75</v>
      </c>
      <c r="K36" s="25">
        <v>45323</v>
      </c>
      <c r="L36" s="1">
        <v>123</v>
      </c>
      <c r="M36" s="1">
        <v>0</v>
      </c>
      <c r="N36" s="14"/>
      <c r="R36" s="32" t="s">
        <v>3501</v>
      </c>
      <c r="S36" s="3">
        <f>COUNTIFS(tblApp[Result],"",tblApp[Status],"1_Interv")</f>
        <v>79</v>
      </c>
    </row>
    <row r="37" spans="1:19" x14ac:dyDescent="0.3">
      <c r="A37" s="1">
        <v>36</v>
      </c>
      <c r="B37" s="24" t="s">
        <v>82</v>
      </c>
      <c r="C37" s="24" t="s">
        <v>11</v>
      </c>
      <c r="D37" s="24" t="s">
        <v>12</v>
      </c>
      <c r="E37" s="24" t="s">
        <v>12</v>
      </c>
      <c r="F37" s="24" t="s">
        <v>14</v>
      </c>
      <c r="G37" s="24" t="s">
        <v>13</v>
      </c>
      <c r="H37" s="25">
        <v>45200</v>
      </c>
      <c r="I37" s="24"/>
      <c r="J37" s="24" t="s">
        <v>75</v>
      </c>
      <c r="K37" s="25">
        <v>45323</v>
      </c>
      <c r="L37" s="1">
        <v>123</v>
      </c>
      <c r="M37" s="1">
        <v>0</v>
      </c>
      <c r="N37" s="14"/>
      <c r="R37" s="32" t="s">
        <v>3527</v>
      </c>
      <c r="S37" s="3">
        <f>COUNTIFS(tblApp[Result],"",tblApp[Status],"2_Interv")</f>
        <v>15</v>
      </c>
    </row>
    <row r="38" spans="1:19" x14ac:dyDescent="0.3">
      <c r="A38" s="1">
        <v>37</v>
      </c>
      <c r="B38" s="24" t="s">
        <v>80</v>
      </c>
      <c r="C38" s="24" t="s">
        <v>9</v>
      </c>
      <c r="D38" s="24" t="s">
        <v>10</v>
      </c>
      <c r="E38" s="24" t="s">
        <v>2</v>
      </c>
      <c r="F38" s="24" t="s">
        <v>4</v>
      </c>
      <c r="G38" s="24" t="s">
        <v>3</v>
      </c>
      <c r="H38" s="25">
        <v>45200</v>
      </c>
      <c r="I38" s="24"/>
      <c r="J38" s="24" t="s">
        <v>75</v>
      </c>
      <c r="K38" s="25">
        <v>45323</v>
      </c>
      <c r="L38" s="1">
        <v>123</v>
      </c>
      <c r="M38" s="1">
        <v>0</v>
      </c>
      <c r="N38" s="14"/>
      <c r="R38" s="32" t="s">
        <v>3547</v>
      </c>
      <c r="S38" s="3">
        <f>COUNTIFS(tblApp[Result],"Passed",tblApp[Offer_Stat],"")</f>
        <v>6</v>
      </c>
    </row>
    <row r="39" spans="1:19" x14ac:dyDescent="0.3">
      <c r="A39" s="1">
        <v>38</v>
      </c>
      <c r="B39" s="24" t="s">
        <v>77</v>
      </c>
      <c r="C39" s="24" t="s">
        <v>5</v>
      </c>
      <c r="D39" s="24" t="s">
        <v>6</v>
      </c>
      <c r="E39" s="24" t="s">
        <v>7</v>
      </c>
      <c r="F39" s="24" t="s">
        <v>4</v>
      </c>
      <c r="G39" s="24" t="s">
        <v>8</v>
      </c>
      <c r="H39" s="25">
        <v>45200</v>
      </c>
      <c r="I39" s="24"/>
      <c r="J39" s="24" t="s">
        <v>75</v>
      </c>
      <c r="K39" s="25">
        <v>45323</v>
      </c>
      <c r="L39" s="1">
        <v>123</v>
      </c>
      <c r="M39" s="1">
        <v>0</v>
      </c>
      <c r="N39" s="14"/>
    </row>
    <row r="40" spans="1:19" x14ac:dyDescent="0.3">
      <c r="A40" s="1">
        <v>39</v>
      </c>
      <c r="B40" s="24" t="s">
        <v>78</v>
      </c>
      <c r="C40" s="24" t="s">
        <v>9</v>
      </c>
      <c r="D40" s="24" t="s">
        <v>10</v>
      </c>
      <c r="E40" s="24" t="s">
        <v>2</v>
      </c>
      <c r="F40" s="24" t="s">
        <v>4</v>
      </c>
      <c r="G40" s="24" t="s">
        <v>3</v>
      </c>
      <c r="H40" s="25">
        <v>45200</v>
      </c>
      <c r="I40" s="24"/>
      <c r="J40" s="24" t="s">
        <v>75</v>
      </c>
      <c r="K40" s="25">
        <v>45323</v>
      </c>
      <c r="L40" s="1">
        <v>123</v>
      </c>
      <c r="M40" s="1">
        <v>0</v>
      </c>
      <c r="N40" s="14"/>
    </row>
    <row r="41" spans="1:19" x14ac:dyDescent="0.3">
      <c r="A41" s="1">
        <v>40</v>
      </c>
      <c r="B41" s="24" t="s">
        <v>79</v>
      </c>
      <c r="C41" s="24" t="s">
        <v>9</v>
      </c>
      <c r="D41" s="24" t="s">
        <v>10</v>
      </c>
      <c r="E41" s="24" t="s">
        <v>2</v>
      </c>
      <c r="F41" s="24" t="s">
        <v>4</v>
      </c>
      <c r="G41" s="24" t="s">
        <v>3</v>
      </c>
      <c r="H41" s="25">
        <v>45200</v>
      </c>
      <c r="I41" s="24"/>
      <c r="J41" s="24" t="s">
        <v>75</v>
      </c>
      <c r="K41" s="25">
        <v>45323</v>
      </c>
      <c r="L41" s="1">
        <v>123</v>
      </c>
      <c r="M41" s="1">
        <v>0</v>
      </c>
      <c r="N41" s="14"/>
    </row>
    <row r="42" spans="1:19" x14ac:dyDescent="0.3">
      <c r="A42" s="1">
        <v>41</v>
      </c>
      <c r="B42" s="24" t="s">
        <v>84</v>
      </c>
      <c r="C42" s="24" t="s">
        <v>15</v>
      </c>
      <c r="D42" s="24" t="s">
        <v>16</v>
      </c>
      <c r="E42" s="24" t="s">
        <v>7</v>
      </c>
      <c r="F42" s="24" t="s">
        <v>4</v>
      </c>
      <c r="G42" s="24" t="s">
        <v>8</v>
      </c>
      <c r="H42" s="25">
        <v>45200</v>
      </c>
      <c r="I42" s="24"/>
      <c r="J42" s="24" t="s">
        <v>75</v>
      </c>
      <c r="K42" s="25">
        <v>45323</v>
      </c>
      <c r="L42" s="1">
        <v>123</v>
      </c>
      <c r="M42" s="1">
        <v>0</v>
      </c>
      <c r="N42" s="14"/>
    </row>
    <row r="43" spans="1:19" x14ac:dyDescent="0.3">
      <c r="A43" s="1">
        <v>42</v>
      </c>
      <c r="B43" s="24" t="s">
        <v>89</v>
      </c>
      <c r="C43" s="24" t="s">
        <v>24</v>
      </c>
      <c r="D43" s="24" t="s">
        <v>10</v>
      </c>
      <c r="E43" s="24" t="s">
        <v>2</v>
      </c>
      <c r="F43" s="24" t="s">
        <v>4</v>
      </c>
      <c r="G43" s="24" t="s">
        <v>19</v>
      </c>
      <c r="H43" s="25">
        <v>45223</v>
      </c>
      <c r="I43" s="24"/>
      <c r="J43" s="24" t="s">
        <v>75</v>
      </c>
      <c r="K43" s="25">
        <v>45323</v>
      </c>
      <c r="L43" s="1">
        <v>100</v>
      </c>
      <c r="M43" s="1">
        <v>0</v>
      </c>
      <c r="N43" s="14"/>
    </row>
    <row r="44" spans="1:19" x14ac:dyDescent="0.3">
      <c r="A44" s="1">
        <v>43</v>
      </c>
      <c r="B44" s="24" t="s">
        <v>88</v>
      </c>
      <c r="C44" s="24" t="s">
        <v>23</v>
      </c>
      <c r="D44" s="24" t="s">
        <v>10</v>
      </c>
      <c r="E44" s="24" t="s">
        <v>2</v>
      </c>
      <c r="F44" s="24" t="s">
        <v>4</v>
      </c>
      <c r="G44" s="24" t="s">
        <v>19</v>
      </c>
      <c r="H44" s="25">
        <v>45223</v>
      </c>
      <c r="I44" s="24"/>
      <c r="J44" s="24" t="s">
        <v>75</v>
      </c>
      <c r="K44" s="25">
        <v>45323</v>
      </c>
      <c r="L44" s="1">
        <v>100</v>
      </c>
      <c r="M44" s="1">
        <v>0</v>
      </c>
      <c r="N44" s="14"/>
    </row>
    <row r="45" spans="1:19" x14ac:dyDescent="0.3">
      <c r="A45" s="1">
        <v>44</v>
      </c>
      <c r="B45" s="24" t="s">
        <v>87</v>
      </c>
      <c r="C45" s="24" t="s">
        <v>22</v>
      </c>
      <c r="D45" s="24" t="s">
        <v>10</v>
      </c>
      <c r="E45" s="24" t="s">
        <v>2</v>
      </c>
      <c r="F45" s="24" t="s">
        <v>4</v>
      </c>
      <c r="G45" s="24" t="s">
        <v>19</v>
      </c>
      <c r="H45" s="25">
        <v>45223</v>
      </c>
      <c r="I45" s="24"/>
      <c r="J45" s="24" t="s">
        <v>75</v>
      </c>
      <c r="K45" s="25">
        <v>45323</v>
      </c>
      <c r="L45" s="1">
        <v>100</v>
      </c>
      <c r="M45" s="1">
        <v>0</v>
      </c>
      <c r="N45" s="14"/>
    </row>
    <row r="46" spans="1:19" x14ac:dyDescent="0.3">
      <c r="A46" s="1">
        <v>45</v>
      </c>
      <c r="B46" s="24" t="s">
        <v>90</v>
      </c>
      <c r="C46" s="24" t="s">
        <v>1213</v>
      </c>
      <c r="D46" s="24" t="s">
        <v>25</v>
      </c>
      <c r="E46" s="24" t="s">
        <v>26</v>
      </c>
      <c r="F46" s="24" t="s">
        <v>14</v>
      </c>
      <c r="G46" s="24" t="s">
        <v>19</v>
      </c>
      <c r="H46" s="25">
        <v>45231</v>
      </c>
      <c r="I46" s="24"/>
      <c r="J46" s="24" t="s">
        <v>75</v>
      </c>
      <c r="K46" s="25">
        <v>45323</v>
      </c>
      <c r="L46" s="1">
        <v>92</v>
      </c>
      <c r="M46" s="1">
        <v>13</v>
      </c>
      <c r="N46" s="14"/>
    </row>
    <row r="47" spans="1:19" x14ac:dyDescent="0.3">
      <c r="A47" s="1">
        <v>46</v>
      </c>
      <c r="B47" s="24" t="s">
        <v>94</v>
      </c>
      <c r="C47" s="24" t="s">
        <v>30</v>
      </c>
      <c r="D47" s="24" t="s">
        <v>31</v>
      </c>
      <c r="E47" s="24" t="s">
        <v>31</v>
      </c>
      <c r="F47" s="24" t="s">
        <v>14</v>
      </c>
      <c r="G47" s="24" t="s">
        <v>3</v>
      </c>
      <c r="H47" s="25">
        <v>45279</v>
      </c>
      <c r="I47" s="24"/>
      <c r="J47" s="24" t="s">
        <v>75</v>
      </c>
      <c r="K47" s="25">
        <v>45323</v>
      </c>
      <c r="L47" s="1">
        <v>44</v>
      </c>
      <c r="M47" s="1">
        <v>138</v>
      </c>
      <c r="N47" s="14"/>
    </row>
    <row r="48" spans="1:19" x14ac:dyDescent="0.3">
      <c r="A48" s="1">
        <v>47</v>
      </c>
      <c r="B48" s="24" t="s">
        <v>99</v>
      </c>
      <c r="C48" s="24" t="s">
        <v>35</v>
      </c>
      <c r="D48" s="24" t="s">
        <v>34</v>
      </c>
      <c r="E48" s="24" t="s">
        <v>2</v>
      </c>
      <c r="F48" s="24" t="s">
        <v>4</v>
      </c>
      <c r="G48" s="24" t="s">
        <v>13</v>
      </c>
      <c r="H48" s="25">
        <v>45288</v>
      </c>
      <c r="I48" s="24"/>
      <c r="J48" s="24" t="s">
        <v>75</v>
      </c>
      <c r="K48" s="25">
        <v>45323</v>
      </c>
      <c r="L48" s="1">
        <v>35</v>
      </c>
      <c r="M48" s="1">
        <v>96</v>
      </c>
      <c r="N48" s="14"/>
    </row>
    <row r="49" spans="1:14" x14ac:dyDescent="0.3">
      <c r="A49" s="1">
        <v>48</v>
      </c>
      <c r="B49" s="24" t="s">
        <v>98</v>
      </c>
      <c r="C49" s="24" t="s">
        <v>33</v>
      </c>
      <c r="D49" s="24" t="s">
        <v>34</v>
      </c>
      <c r="E49" s="24" t="s">
        <v>2</v>
      </c>
      <c r="F49" s="24" t="s">
        <v>4</v>
      </c>
      <c r="G49" s="24" t="s">
        <v>13</v>
      </c>
      <c r="H49" s="25">
        <v>45288</v>
      </c>
      <c r="I49" s="24"/>
      <c r="J49" s="24" t="s">
        <v>75</v>
      </c>
      <c r="K49" s="25">
        <v>45323</v>
      </c>
      <c r="L49" s="1">
        <v>35</v>
      </c>
      <c r="M49" s="1">
        <v>19</v>
      </c>
      <c r="N49" s="14"/>
    </row>
    <row r="50" spans="1:14" x14ac:dyDescent="0.3">
      <c r="A50" s="1">
        <v>49</v>
      </c>
      <c r="B50" s="24" t="s">
        <v>100</v>
      </c>
      <c r="C50" s="24" t="s">
        <v>36</v>
      </c>
      <c r="D50" s="24" t="s">
        <v>37</v>
      </c>
      <c r="E50" s="24" t="s">
        <v>2</v>
      </c>
      <c r="F50" s="24" t="s">
        <v>4</v>
      </c>
      <c r="G50" s="24" t="s">
        <v>13</v>
      </c>
      <c r="H50" s="25">
        <v>45293</v>
      </c>
      <c r="I50" s="24"/>
      <c r="J50" s="24" t="s">
        <v>75</v>
      </c>
      <c r="K50" s="25">
        <v>45323</v>
      </c>
      <c r="L50" s="1">
        <v>30</v>
      </c>
      <c r="M50" s="1">
        <v>77</v>
      </c>
      <c r="N50" s="14"/>
    </row>
    <row r="51" spans="1:14" x14ac:dyDescent="0.3">
      <c r="A51" s="1">
        <v>50</v>
      </c>
      <c r="B51" s="24" t="s">
        <v>120</v>
      </c>
      <c r="C51" s="24" t="s">
        <v>65</v>
      </c>
      <c r="D51" s="24" t="s">
        <v>66</v>
      </c>
      <c r="E51" s="24" t="s">
        <v>2</v>
      </c>
      <c r="F51" s="24" t="s">
        <v>4</v>
      </c>
      <c r="G51" s="24" t="s">
        <v>3</v>
      </c>
      <c r="H51" s="25">
        <v>45383</v>
      </c>
      <c r="I51" s="24"/>
      <c r="J51" s="24" t="s">
        <v>75</v>
      </c>
      <c r="K51" s="25">
        <v>45413</v>
      </c>
      <c r="L51" s="1">
        <v>30</v>
      </c>
      <c r="M51" s="1">
        <v>0</v>
      </c>
      <c r="N51" s="14"/>
    </row>
    <row r="52" spans="1:14" x14ac:dyDescent="0.3">
      <c r="A52" s="1">
        <v>51</v>
      </c>
      <c r="B52" s="24" t="s">
        <v>118</v>
      </c>
      <c r="C52" s="24" t="s">
        <v>2853</v>
      </c>
      <c r="D52" s="24" t="s">
        <v>63</v>
      </c>
      <c r="E52" s="24" t="s">
        <v>7</v>
      </c>
      <c r="F52" s="24" t="s">
        <v>4</v>
      </c>
      <c r="G52" s="24" t="s">
        <v>8</v>
      </c>
      <c r="H52" s="25">
        <v>45378</v>
      </c>
      <c r="I52" s="24"/>
      <c r="J52" s="24" t="s">
        <v>75</v>
      </c>
      <c r="K52" s="25">
        <v>45383</v>
      </c>
      <c r="L52" s="1">
        <v>5</v>
      </c>
      <c r="M52" s="1">
        <v>0</v>
      </c>
      <c r="N52" s="14"/>
    </row>
    <row r="53" spans="1:14" x14ac:dyDescent="0.3">
      <c r="A53" s="1">
        <v>52</v>
      </c>
      <c r="B53" s="24" t="s">
        <v>119</v>
      </c>
      <c r="C53" s="24" t="s">
        <v>64</v>
      </c>
      <c r="D53" s="24" t="s">
        <v>64</v>
      </c>
      <c r="E53" s="24" t="s">
        <v>7</v>
      </c>
      <c r="F53" s="24" t="s">
        <v>4</v>
      </c>
      <c r="G53" s="24" t="s">
        <v>8</v>
      </c>
      <c r="H53" s="25">
        <v>45378</v>
      </c>
      <c r="I53" s="24"/>
      <c r="J53" s="24" t="s">
        <v>75</v>
      </c>
      <c r="K53" s="25">
        <v>45383</v>
      </c>
      <c r="L53" s="1">
        <v>5</v>
      </c>
      <c r="M53" s="1">
        <v>22</v>
      </c>
      <c r="N53" s="14"/>
    </row>
  </sheetData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0D768-97E4-496E-93A6-759D65E126CF}">
  <sheetPr codeName="shCand"/>
  <dimension ref="A1:Q620"/>
  <sheetViews>
    <sheetView workbookViewId="0">
      <selection sqref="A1:Q620"/>
    </sheetView>
  </sheetViews>
  <sheetFormatPr defaultRowHeight="14" x14ac:dyDescent="0.3"/>
  <cols>
    <col min="1" max="1" width="5.796875" bestFit="1" customWidth="1"/>
    <col min="2" max="2" width="9.69921875" bestFit="1" customWidth="1"/>
    <col min="3" max="3" width="24.09765625" bestFit="1" customWidth="1"/>
    <col min="4" max="4" width="6.59765625" bestFit="1" customWidth="1"/>
    <col min="5" max="5" width="15.59765625" bestFit="1" customWidth="1"/>
    <col min="6" max="6" width="34.5" customWidth="1"/>
    <col min="7" max="7" width="29" customWidth="1"/>
    <col min="8" max="8" width="21.5" customWidth="1"/>
    <col min="9" max="9" width="34.5" bestFit="1" customWidth="1"/>
    <col min="10" max="10" width="29.09765625" bestFit="1" customWidth="1"/>
    <col min="11" max="11" width="12.296875" bestFit="1" customWidth="1"/>
    <col min="12" max="12" width="9.69921875" bestFit="1" customWidth="1"/>
    <col min="13" max="13" width="9.3984375" bestFit="1" customWidth="1"/>
    <col min="14" max="14" width="12.296875" bestFit="1" customWidth="1"/>
    <col min="15" max="15" width="8.8984375" bestFit="1" customWidth="1"/>
    <col min="16" max="16" width="8.5" bestFit="1" customWidth="1"/>
    <col min="17" max="17" width="19.19921875" customWidth="1"/>
  </cols>
  <sheetData>
    <row r="1" spans="1:17" x14ac:dyDescent="0.3">
      <c r="A1" t="s">
        <v>3475</v>
      </c>
      <c r="B1" t="s">
        <v>3487</v>
      </c>
      <c r="C1" t="s">
        <v>3497</v>
      </c>
      <c r="D1" t="s">
        <v>3488</v>
      </c>
      <c r="E1" t="s">
        <v>3491</v>
      </c>
      <c r="F1" t="s">
        <v>3492</v>
      </c>
      <c r="G1" t="s">
        <v>3493</v>
      </c>
      <c r="H1" t="s">
        <v>3494</v>
      </c>
      <c r="I1" t="s">
        <v>3495</v>
      </c>
      <c r="J1" t="s">
        <v>3479</v>
      </c>
      <c r="K1" t="s">
        <v>3526</v>
      </c>
      <c r="L1" t="s">
        <v>3498</v>
      </c>
      <c r="M1" t="s">
        <v>3528</v>
      </c>
      <c r="N1" t="s">
        <v>3529</v>
      </c>
      <c r="O1" t="s">
        <v>3527</v>
      </c>
      <c r="P1" t="s">
        <v>3508</v>
      </c>
      <c r="Q1" t="s">
        <v>3506</v>
      </c>
    </row>
    <row r="2" spans="1:17" x14ac:dyDescent="0.3">
      <c r="A2">
        <v>1</v>
      </c>
      <c r="B2" s="14" t="s">
        <v>2222</v>
      </c>
      <c r="C2" s="14" t="s">
        <v>128</v>
      </c>
      <c r="D2" s="14" t="s">
        <v>3490</v>
      </c>
      <c r="E2" s="14" t="s">
        <v>1118</v>
      </c>
      <c r="F2" s="14" t="s">
        <v>1120</v>
      </c>
      <c r="G2" s="14" t="s">
        <v>1516</v>
      </c>
      <c r="H2" s="14"/>
      <c r="I2" t="s">
        <v>592</v>
      </c>
      <c r="J2" s="14" t="s">
        <v>35</v>
      </c>
      <c r="K2" s="15">
        <v>45261</v>
      </c>
      <c r="L2" s="14" t="s">
        <v>2845</v>
      </c>
      <c r="M2" t="s">
        <v>3523</v>
      </c>
      <c r="N2" s="15"/>
      <c r="O2" s="14"/>
      <c r="P2">
        <v>190</v>
      </c>
    </row>
    <row r="3" spans="1:17" x14ac:dyDescent="0.3">
      <c r="A3">
        <v>2</v>
      </c>
      <c r="B3" s="14" t="s">
        <v>2225</v>
      </c>
      <c r="C3" s="14" t="s">
        <v>129</v>
      </c>
      <c r="D3" s="14" t="s">
        <v>3490</v>
      </c>
      <c r="E3" s="14" t="s">
        <v>1113</v>
      </c>
      <c r="F3" s="14" t="s">
        <v>1121</v>
      </c>
      <c r="G3" s="14" t="s">
        <v>1517</v>
      </c>
      <c r="H3" s="14" t="s">
        <v>2051</v>
      </c>
      <c r="I3" t="s">
        <v>593</v>
      </c>
      <c r="J3" s="14" t="s">
        <v>33</v>
      </c>
      <c r="K3" s="15">
        <v>45292</v>
      </c>
      <c r="L3" s="14" t="s">
        <v>2846</v>
      </c>
      <c r="M3" t="s">
        <v>3500</v>
      </c>
      <c r="N3" s="15">
        <v>45292</v>
      </c>
      <c r="O3" s="14"/>
      <c r="P3">
        <v>159</v>
      </c>
    </row>
    <row r="4" spans="1:17" x14ac:dyDescent="0.3">
      <c r="A4">
        <v>3</v>
      </c>
      <c r="B4" s="14" t="s">
        <v>2226</v>
      </c>
      <c r="C4" s="14" t="s">
        <v>130</v>
      </c>
      <c r="D4" s="14" t="s">
        <v>3490</v>
      </c>
      <c r="E4" s="14" t="s">
        <v>1118</v>
      </c>
      <c r="F4" s="14" t="s">
        <v>1122</v>
      </c>
      <c r="G4" s="14" t="s">
        <v>1518</v>
      </c>
      <c r="H4" s="14"/>
      <c r="I4" t="s">
        <v>594</v>
      </c>
      <c r="J4" s="14" t="s">
        <v>36</v>
      </c>
      <c r="K4" s="15">
        <v>45261</v>
      </c>
      <c r="L4" s="14" t="s">
        <v>2846</v>
      </c>
      <c r="M4" t="s">
        <v>3523</v>
      </c>
      <c r="N4" s="15"/>
      <c r="O4" s="14"/>
      <c r="P4">
        <v>190</v>
      </c>
    </row>
    <row r="5" spans="1:17" x14ac:dyDescent="0.3">
      <c r="A5">
        <v>4</v>
      </c>
      <c r="B5" s="14" t="s">
        <v>2227</v>
      </c>
      <c r="C5" s="14" t="s">
        <v>131</v>
      </c>
      <c r="D5" s="14" t="s">
        <v>3490</v>
      </c>
      <c r="E5" s="14" t="s">
        <v>1118</v>
      </c>
      <c r="F5" s="14" t="s">
        <v>1123</v>
      </c>
      <c r="G5" s="14" t="s">
        <v>1519</v>
      </c>
      <c r="H5" s="14" t="s">
        <v>2052</v>
      </c>
      <c r="I5" t="s">
        <v>595</v>
      </c>
      <c r="J5" s="14" t="s">
        <v>72</v>
      </c>
      <c r="K5" s="15">
        <v>45261</v>
      </c>
      <c r="L5" s="14" t="s">
        <v>2847</v>
      </c>
      <c r="M5" t="s">
        <v>3523</v>
      </c>
      <c r="N5" s="15"/>
      <c r="O5" s="14"/>
      <c r="P5">
        <v>190</v>
      </c>
    </row>
    <row r="6" spans="1:17" x14ac:dyDescent="0.3">
      <c r="A6">
        <v>5</v>
      </c>
      <c r="B6" s="14" t="s">
        <v>2228</v>
      </c>
      <c r="C6" s="14" t="s">
        <v>132</v>
      </c>
      <c r="D6" s="14" t="s">
        <v>3489</v>
      </c>
      <c r="E6" s="14" t="s">
        <v>1118</v>
      </c>
      <c r="F6" s="14" t="s">
        <v>33</v>
      </c>
      <c r="G6" s="14" t="s">
        <v>1520</v>
      </c>
      <c r="H6" s="14" t="s">
        <v>2088</v>
      </c>
      <c r="I6" t="s">
        <v>596</v>
      </c>
      <c r="J6" s="14" t="s">
        <v>30</v>
      </c>
      <c r="K6" s="15">
        <v>45292</v>
      </c>
      <c r="L6" s="14" t="s">
        <v>2848</v>
      </c>
      <c r="M6" t="s">
        <v>3500</v>
      </c>
      <c r="N6" s="15">
        <v>45295</v>
      </c>
      <c r="O6" s="14" t="s">
        <v>3521</v>
      </c>
      <c r="P6">
        <v>3</v>
      </c>
    </row>
    <row r="7" spans="1:17" x14ac:dyDescent="0.3">
      <c r="A7">
        <v>6</v>
      </c>
      <c r="B7" s="14" t="s">
        <v>2229</v>
      </c>
      <c r="C7" s="14" t="s">
        <v>133</v>
      </c>
      <c r="D7" s="14" t="s">
        <v>3490</v>
      </c>
      <c r="E7" s="14" t="s">
        <v>1118</v>
      </c>
      <c r="F7" s="14" t="s">
        <v>1124</v>
      </c>
      <c r="G7" s="14" t="s">
        <v>1521</v>
      </c>
      <c r="H7" s="14"/>
      <c r="I7" t="s">
        <v>597</v>
      </c>
      <c r="J7" s="14" t="s">
        <v>29</v>
      </c>
      <c r="K7" s="15">
        <v>45292</v>
      </c>
      <c r="L7" s="14" t="s">
        <v>2845</v>
      </c>
      <c r="M7" t="s">
        <v>3524</v>
      </c>
      <c r="N7" s="15"/>
      <c r="O7" s="14" t="s">
        <v>3521</v>
      </c>
    </row>
    <row r="8" spans="1:17" x14ac:dyDescent="0.3">
      <c r="A8">
        <v>7</v>
      </c>
      <c r="B8" s="14" t="s">
        <v>2230</v>
      </c>
      <c r="C8" s="14" t="s">
        <v>2089</v>
      </c>
      <c r="D8" s="14" t="s">
        <v>3490</v>
      </c>
      <c r="E8" s="14" t="s">
        <v>1118</v>
      </c>
      <c r="F8" s="14" t="s">
        <v>1125</v>
      </c>
      <c r="G8" s="14" t="s">
        <v>1522</v>
      </c>
      <c r="H8" s="14"/>
      <c r="I8" t="s">
        <v>598</v>
      </c>
      <c r="J8" s="14" t="s">
        <v>30</v>
      </c>
      <c r="K8" s="15">
        <v>45292</v>
      </c>
      <c r="L8" s="14" t="s">
        <v>2845</v>
      </c>
      <c r="M8" t="s">
        <v>3524</v>
      </c>
      <c r="N8" s="15"/>
      <c r="O8" s="14" t="s">
        <v>3521</v>
      </c>
    </row>
    <row r="9" spans="1:17" x14ac:dyDescent="0.3">
      <c r="A9">
        <v>8</v>
      </c>
      <c r="B9" s="14" t="s">
        <v>2223</v>
      </c>
      <c r="C9" s="14" t="s">
        <v>134</v>
      </c>
      <c r="D9" s="14" t="s">
        <v>3489</v>
      </c>
      <c r="E9" s="14" t="s">
        <v>1118</v>
      </c>
      <c r="F9" s="14" t="s">
        <v>1126</v>
      </c>
      <c r="G9" s="14" t="s">
        <v>1523</v>
      </c>
      <c r="H9" s="14" t="s">
        <v>2052</v>
      </c>
      <c r="I9" t="s">
        <v>599</v>
      </c>
      <c r="J9" s="14" t="s">
        <v>28</v>
      </c>
      <c r="K9" s="15">
        <v>45292</v>
      </c>
      <c r="L9" s="14" t="s">
        <v>2847</v>
      </c>
      <c r="M9" t="s">
        <v>3524</v>
      </c>
      <c r="N9" s="15"/>
      <c r="O9" s="14" t="s">
        <v>3521</v>
      </c>
    </row>
    <row r="10" spans="1:17" x14ac:dyDescent="0.3">
      <c r="A10">
        <v>9</v>
      </c>
      <c r="B10" s="14" t="s">
        <v>2224</v>
      </c>
      <c r="C10" s="14" t="s">
        <v>135</v>
      </c>
      <c r="D10" s="14" t="s">
        <v>3489</v>
      </c>
      <c r="E10" s="14" t="s">
        <v>1118</v>
      </c>
      <c r="F10" s="14" t="s">
        <v>1127</v>
      </c>
      <c r="G10" s="14" t="s">
        <v>1524</v>
      </c>
      <c r="H10" s="14"/>
      <c r="I10" t="s">
        <v>600</v>
      </c>
      <c r="J10" s="14" t="s">
        <v>70</v>
      </c>
      <c r="K10" s="15">
        <v>45261</v>
      </c>
      <c r="L10" s="14" t="s">
        <v>2847</v>
      </c>
      <c r="M10" t="s">
        <v>3523</v>
      </c>
      <c r="N10" s="15"/>
      <c r="O10" s="14"/>
      <c r="P10">
        <v>190</v>
      </c>
    </row>
    <row r="11" spans="1:17" x14ac:dyDescent="0.3">
      <c r="A11">
        <v>10</v>
      </c>
      <c r="B11" s="14" t="s">
        <v>2231</v>
      </c>
      <c r="C11" s="14" t="s">
        <v>2090</v>
      </c>
      <c r="D11" s="14" t="s">
        <v>3490</v>
      </c>
      <c r="E11" s="14" t="s">
        <v>1118</v>
      </c>
      <c r="F11" s="14" t="s">
        <v>1128</v>
      </c>
      <c r="G11" s="14" t="s">
        <v>1525</v>
      </c>
      <c r="H11" s="14" t="s">
        <v>2052</v>
      </c>
      <c r="I11" t="s">
        <v>601</v>
      </c>
      <c r="J11" s="14" t="s">
        <v>35</v>
      </c>
      <c r="K11" s="15">
        <v>45261</v>
      </c>
      <c r="L11" s="14" t="s">
        <v>2847</v>
      </c>
      <c r="M11" t="s">
        <v>3523</v>
      </c>
      <c r="N11" s="15"/>
      <c r="O11" s="14"/>
      <c r="P11">
        <v>190</v>
      </c>
    </row>
    <row r="12" spans="1:17" x14ac:dyDescent="0.3">
      <c r="A12">
        <v>11</v>
      </c>
      <c r="B12" s="14" t="s">
        <v>2232</v>
      </c>
      <c r="C12" s="14" t="s">
        <v>136</v>
      </c>
      <c r="D12" s="14" t="s">
        <v>3490</v>
      </c>
      <c r="E12" s="14" t="s">
        <v>1118</v>
      </c>
      <c r="F12" s="14" t="s">
        <v>1129</v>
      </c>
      <c r="G12" s="14" t="s">
        <v>1526</v>
      </c>
      <c r="H12" s="14"/>
      <c r="I12" t="s">
        <v>602</v>
      </c>
      <c r="J12" s="14" t="s">
        <v>35</v>
      </c>
      <c r="K12" s="15">
        <v>45261</v>
      </c>
      <c r="L12" s="14" t="s">
        <v>2848</v>
      </c>
      <c r="M12" t="s">
        <v>3523</v>
      </c>
      <c r="N12" s="15"/>
      <c r="O12" s="14"/>
      <c r="P12">
        <v>190</v>
      </c>
    </row>
    <row r="13" spans="1:17" x14ac:dyDescent="0.3">
      <c r="A13">
        <v>12</v>
      </c>
      <c r="B13" s="14" t="s">
        <v>2233</v>
      </c>
      <c r="C13" s="14" t="s">
        <v>2091</v>
      </c>
      <c r="D13" s="14" t="s">
        <v>3490</v>
      </c>
      <c r="E13" s="14" t="s">
        <v>1118</v>
      </c>
      <c r="F13" s="14" t="s">
        <v>1130</v>
      </c>
      <c r="G13" s="14" t="s">
        <v>1527</v>
      </c>
      <c r="H13" s="14"/>
      <c r="I13" t="s">
        <v>603</v>
      </c>
      <c r="J13" s="14" t="s">
        <v>70</v>
      </c>
      <c r="K13" s="15">
        <v>45292</v>
      </c>
      <c r="L13" s="14" t="s">
        <v>2848</v>
      </c>
      <c r="M13" t="s">
        <v>3524</v>
      </c>
      <c r="N13" s="15"/>
      <c r="O13" s="14" t="s">
        <v>3521</v>
      </c>
    </row>
    <row r="14" spans="1:17" x14ac:dyDescent="0.3">
      <c r="A14">
        <v>13</v>
      </c>
      <c r="B14" s="14" t="s">
        <v>2234</v>
      </c>
      <c r="C14" s="14" t="s">
        <v>2092</v>
      </c>
      <c r="D14" s="14" t="s">
        <v>3489</v>
      </c>
      <c r="E14" s="14" t="s">
        <v>1118</v>
      </c>
      <c r="F14" s="14" t="s">
        <v>15</v>
      </c>
      <c r="G14" s="14" t="s">
        <v>2841</v>
      </c>
      <c r="H14" s="14"/>
      <c r="I14" t="s">
        <v>604</v>
      </c>
      <c r="J14" s="14" t="s">
        <v>30</v>
      </c>
      <c r="K14" s="15">
        <v>45261</v>
      </c>
      <c r="L14" s="14" t="s">
        <v>2848</v>
      </c>
      <c r="M14" t="s">
        <v>3524</v>
      </c>
      <c r="N14" s="15"/>
      <c r="O14" s="14"/>
      <c r="P14">
        <v>190</v>
      </c>
    </row>
    <row r="15" spans="1:17" x14ac:dyDescent="0.3">
      <c r="A15">
        <v>14</v>
      </c>
      <c r="B15" s="14" t="s">
        <v>2235</v>
      </c>
      <c r="C15" s="14" t="s">
        <v>137</v>
      </c>
      <c r="D15" s="14" t="s">
        <v>3489</v>
      </c>
      <c r="E15" s="14" t="s">
        <v>1118</v>
      </c>
      <c r="F15" s="14" t="s">
        <v>1131</v>
      </c>
      <c r="G15" s="14" t="s">
        <v>1528</v>
      </c>
      <c r="H15" s="14" t="s">
        <v>2053</v>
      </c>
      <c r="I15" t="s">
        <v>605</v>
      </c>
      <c r="J15" s="14" t="s">
        <v>3525</v>
      </c>
      <c r="K15" s="15">
        <v>45292</v>
      </c>
      <c r="L15" s="14" t="s">
        <v>2849</v>
      </c>
      <c r="M15" t="s">
        <v>3500</v>
      </c>
      <c r="N15" s="15">
        <v>45292</v>
      </c>
      <c r="O15" s="14" t="s">
        <v>3521</v>
      </c>
      <c r="P15">
        <v>0</v>
      </c>
    </row>
    <row r="16" spans="1:17" x14ac:dyDescent="0.3">
      <c r="A16">
        <v>15</v>
      </c>
      <c r="B16" s="14" t="s">
        <v>2236</v>
      </c>
      <c r="C16" s="14" t="s">
        <v>138</v>
      </c>
      <c r="D16" s="14" t="s">
        <v>3489</v>
      </c>
      <c r="E16" s="14" t="s">
        <v>1113</v>
      </c>
      <c r="F16" s="14" t="s">
        <v>1132</v>
      </c>
      <c r="G16" s="14" t="s">
        <v>1529</v>
      </c>
      <c r="H16" s="14" t="s">
        <v>2052</v>
      </c>
      <c r="I16" t="s">
        <v>606</v>
      </c>
      <c r="J16" s="14" t="s">
        <v>72</v>
      </c>
      <c r="K16" s="15">
        <v>45261</v>
      </c>
      <c r="L16" s="14" t="s">
        <v>2849</v>
      </c>
      <c r="M16" t="s">
        <v>3523</v>
      </c>
      <c r="N16" s="15"/>
      <c r="O16" s="14"/>
      <c r="P16">
        <v>190</v>
      </c>
    </row>
    <row r="17" spans="1:16" x14ac:dyDescent="0.3">
      <c r="A17">
        <v>16</v>
      </c>
      <c r="B17" s="14" t="s">
        <v>2237</v>
      </c>
      <c r="C17" s="14" t="s">
        <v>2093</v>
      </c>
      <c r="D17" s="14" t="s">
        <v>3489</v>
      </c>
      <c r="E17" s="14" t="s">
        <v>1118</v>
      </c>
      <c r="F17" s="14" t="s">
        <v>1133</v>
      </c>
      <c r="G17" s="14" t="s">
        <v>1530</v>
      </c>
      <c r="H17" s="14"/>
      <c r="I17" t="s">
        <v>607</v>
      </c>
      <c r="J17" s="14" t="s">
        <v>3525</v>
      </c>
      <c r="K17" s="15">
        <v>45261</v>
      </c>
      <c r="L17" s="14" t="s">
        <v>2849</v>
      </c>
      <c r="M17" t="s">
        <v>3524</v>
      </c>
      <c r="N17" s="15"/>
      <c r="O17" s="14" t="s">
        <v>3521</v>
      </c>
    </row>
    <row r="18" spans="1:16" x14ac:dyDescent="0.3">
      <c r="A18">
        <v>17</v>
      </c>
      <c r="B18" s="14" t="s">
        <v>2238</v>
      </c>
      <c r="C18" s="14" t="s">
        <v>139</v>
      </c>
      <c r="D18" s="14" t="s">
        <v>3489</v>
      </c>
      <c r="E18" s="14" t="s">
        <v>1118</v>
      </c>
      <c r="F18" s="14" t="s">
        <v>1134</v>
      </c>
      <c r="G18" s="14" t="s">
        <v>1531</v>
      </c>
      <c r="H18" s="14"/>
      <c r="I18" t="s">
        <v>608</v>
      </c>
      <c r="J18" s="14" t="s">
        <v>70</v>
      </c>
      <c r="K18" s="15">
        <v>45261</v>
      </c>
      <c r="L18" s="14" t="s">
        <v>2849</v>
      </c>
      <c r="M18" t="s">
        <v>3523</v>
      </c>
      <c r="N18" s="15"/>
      <c r="O18" s="14"/>
      <c r="P18">
        <v>190</v>
      </c>
    </row>
    <row r="19" spans="1:16" x14ac:dyDescent="0.3">
      <c r="A19">
        <v>18</v>
      </c>
      <c r="B19" s="14" t="s">
        <v>2239</v>
      </c>
      <c r="C19" s="14" t="s">
        <v>140</v>
      </c>
      <c r="D19" s="14" t="s">
        <v>3489</v>
      </c>
      <c r="E19" s="14" t="s">
        <v>1118</v>
      </c>
      <c r="F19" s="14" t="s">
        <v>1135</v>
      </c>
      <c r="G19" s="14" t="s">
        <v>1532</v>
      </c>
      <c r="H19" s="14" t="s">
        <v>2054</v>
      </c>
      <c r="I19" t="s">
        <v>609</v>
      </c>
      <c r="J19" s="14" t="s">
        <v>3525</v>
      </c>
      <c r="K19" s="15">
        <v>45292</v>
      </c>
      <c r="L19" s="14" t="s">
        <v>2849</v>
      </c>
      <c r="M19" t="s">
        <v>3500</v>
      </c>
      <c r="N19" s="15">
        <v>45292</v>
      </c>
      <c r="O19" s="14" t="s">
        <v>3521</v>
      </c>
      <c r="P19">
        <v>0</v>
      </c>
    </row>
    <row r="20" spans="1:16" x14ac:dyDescent="0.3">
      <c r="A20">
        <v>19</v>
      </c>
      <c r="B20" s="14" t="s">
        <v>2240</v>
      </c>
      <c r="C20" s="14" t="s">
        <v>141</v>
      </c>
      <c r="D20" s="14" t="s">
        <v>3490</v>
      </c>
      <c r="E20" s="14" t="s">
        <v>1118</v>
      </c>
      <c r="F20" s="14" t="s">
        <v>1136</v>
      </c>
      <c r="G20" s="14" t="s">
        <v>1533</v>
      </c>
      <c r="H20" s="14" t="s">
        <v>2055</v>
      </c>
      <c r="I20" t="s">
        <v>610</v>
      </c>
      <c r="J20" s="14" t="s">
        <v>30</v>
      </c>
      <c r="K20" s="15">
        <v>45292</v>
      </c>
      <c r="L20" s="14" t="s">
        <v>2849</v>
      </c>
      <c r="M20" t="s">
        <v>3500</v>
      </c>
      <c r="N20" s="15">
        <v>45292</v>
      </c>
      <c r="O20" s="14" t="s">
        <v>3521</v>
      </c>
      <c r="P20">
        <v>0</v>
      </c>
    </row>
    <row r="21" spans="1:16" x14ac:dyDescent="0.3">
      <c r="A21">
        <v>20</v>
      </c>
      <c r="B21" s="14" t="s">
        <v>2241</v>
      </c>
      <c r="C21" s="14" t="s">
        <v>142</v>
      </c>
      <c r="D21" s="14" t="s">
        <v>3489</v>
      </c>
      <c r="E21" s="14" t="s">
        <v>1118</v>
      </c>
      <c r="F21" s="14" t="s">
        <v>1137</v>
      </c>
      <c r="G21" s="14" t="s">
        <v>1534</v>
      </c>
      <c r="H21" s="14"/>
      <c r="I21" t="s">
        <v>611</v>
      </c>
      <c r="J21" s="14" t="s">
        <v>70</v>
      </c>
      <c r="K21" s="15">
        <v>45261</v>
      </c>
      <c r="L21" s="14" t="s">
        <v>2849</v>
      </c>
      <c r="M21" t="s">
        <v>3523</v>
      </c>
      <c r="N21" s="15"/>
      <c r="O21" s="14"/>
      <c r="P21">
        <v>190</v>
      </c>
    </row>
    <row r="22" spans="1:16" x14ac:dyDescent="0.3">
      <c r="A22">
        <v>21</v>
      </c>
      <c r="B22" s="14" t="s">
        <v>2242</v>
      </c>
      <c r="C22" s="14" t="s">
        <v>143</v>
      </c>
      <c r="D22" s="14" t="s">
        <v>3490</v>
      </c>
      <c r="E22" s="14" t="s">
        <v>1118</v>
      </c>
      <c r="F22" s="14" t="s">
        <v>1138</v>
      </c>
      <c r="G22" s="14" t="s">
        <v>1535</v>
      </c>
      <c r="H22" s="14" t="s">
        <v>2056</v>
      </c>
      <c r="I22" t="s">
        <v>612</v>
      </c>
      <c r="J22" s="14" t="s">
        <v>27</v>
      </c>
      <c r="K22" s="15">
        <v>45292</v>
      </c>
      <c r="L22" s="14" t="s">
        <v>2849</v>
      </c>
      <c r="M22" t="s">
        <v>3500</v>
      </c>
      <c r="N22" s="15">
        <v>45292</v>
      </c>
      <c r="O22" s="14" t="s">
        <v>3521</v>
      </c>
      <c r="P22">
        <v>0</v>
      </c>
    </row>
    <row r="23" spans="1:16" x14ac:dyDescent="0.3">
      <c r="A23">
        <v>22</v>
      </c>
      <c r="B23" s="14" t="s">
        <v>2243</v>
      </c>
      <c r="C23" s="14" t="s">
        <v>144</v>
      </c>
      <c r="D23" s="14" t="s">
        <v>3490</v>
      </c>
      <c r="E23" s="14" t="s">
        <v>1117</v>
      </c>
      <c r="F23" s="14" t="s">
        <v>1139</v>
      </c>
      <c r="G23" s="14"/>
      <c r="H23" s="14" t="s">
        <v>704</v>
      </c>
      <c r="I23" t="s">
        <v>613</v>
      </c>
      <c r="J23" s="14" t="s">
        <v>72</v>
      </c>
      <c r="K23" s="15">
        <v>45292</v>
      </c>
      <c r="L23" s="14" t="s">
        <v>2848</v>
      </c>
      <c r="M23" t="s">
        <v>3500</v>
      </c>
      <c r="N23" s="15">
        <v>45292</v>
      </c>
      <c r="O23" s="14" t="s">
        <v>3521</v>
      </c>
      <c r="P23">
        <v>0</v>
      </c>
    </row>
    <row r="24" spans="1:16" x14ac:dyDescent="0.3">
      <c r="A24">
        <v>23</v>
      </c>
      <c r="B24" s="14" t="s">
        <v>2244</v>
      </c>
      <c r="C24" s="14" t="s">
        <v>145</v>
      </c>
      <c r="D24" s="14" t="s">
        <v>3490</v>
      </c>
      <c r="E24" s="14" t="s">
        <v>1113</v>
      </c>
      <c r="F24" s="14" t="s">
        <v>1140</v>
      </c>
      <c r="G24" s="14" t="s">
        <v>1536</v>
      </c>
      <c r="H24" s="14" t="s">
        <v>2057</v>
      </c>
      <c r="I24" t="s">
        <v>614</v>
      </c>
      <c r="J24" s="14" t="s">
        <v>27</v>
      </c>
      <c r="K24" s="15">
        <v>45292</v>
      </c>
      <c r="L24" s="14" t="s">
        <v>2848</v>
      </c>
      <c r="M24" t="s">
        <v>3500</v>
      </c>
      <c r="N24" s="15">
        <v>45294</v>
      </c>
      <c r="O24" s="14" t="s">
        <v>3521</v>
      </c>
      <c r="P24">
        <v>2</v>
      </c>
    </row>
    <row r="25" spans="1:16" x14ac:dyDescent="0.3">
      <c r="A25">
        <v>24</v>
      </c>
      <c r="B25" s="14" t="s">
        <v>2245</v>
      </c>
      <c r="C25" s="14" t="s">
        <v>2094</v>
      </c>
      <c r="D25" s="14" t="s">
        <v>3490</v>
      </c>
      <c r="E25" s="14" t="s">
        <v>1118</v>
      </c>
      <c r="F25" s="14" t="s">
        <v>1141</v>
      </c>
      <c r="G25" s="14" t="s">
        <v>1537</v>
      </c>
      <c r="H25" s="14" t="s">
        <v>2052</v>
      </c>
      <c r="I25" t="s">
        <v>615</v>
      </c>
      <c r="J25" s="14" t="s">
        <v>27</v>
      </c>
      <c r="K25" s="15">
        <v>45261</v>
      </c>
      <c r="L25" s="14" t="s">
        <v>2848</v>
      </c>
      <c r="M25" t="s">
        <v>3523</v>
      </c>
      <c r="N25" s="15"/>
      <c r="O25" s="14"/>
      <c r="P25">
        <v>190</v>
      </c>
    </row>
    <row r="26" spans="1:16" x14ac:dyDescent="0.3">
      <c r="A26">
        <v>25</v>
      </c>
      <c r="B26" s="14" t="s">
        <v>2246</v>
      </c>
      <c r="C26" s="14" t="s">
        <v>2095</v>
      </c>
      <c r="D26" s="14" t="s">
        <v>3489</v>
      </c>
      <c r="E26" s="14" t="s">
        <v>1118</v>
      </c>
      <c r="F26" s="14" t="s">
        <v>1142</v>
      </c>
      <c r="G26" s="14" t="s">
        <v>1538</v>
      </c>
      <c r="H26" s="14" t="s">
        <v>2052</v>
      </c>
      <c r="I26" t="s">
        <v>616</v>
      </c>
      <c r="J26" s="14" t="s">
        <v>27</v>
      </c>
      <c r="K26" s="15">
        <v>45292</v>
      </c>
      <c r="L26" s="14" t="s">
        <v>2848</v>
      </c>
      <c r="M26" t="s">
        <v>3524</v>
      </c>
      <c r="N26" s="15"/>
      <c r="O26" s="14" t="s">
        <v>3521</v>
      </c>
    </row>
    <row r="27" spans="1:16" x14ac:dyDescent="0.3">
      <c r="A27">
        <v>26</v>
      </c>
      <c r="B27" s="14" t="s">
        <v>2247</v>
      </c>
      <c r="C27" s="14" t="s">
        <v>146</v>
      </c>
      <c r="D27" s="14" t="s">
        <v>3490</v>
      </c>
      <c r="E27" s="14" t="s">
        <v>1118</v>
      </c>
      <c r="F27" s="14" t="s">
        <v>1143</v>
      </c>
      <c r="G27" s="14" t="s">
        <v>1539</v>
      </c>
      <c r="H27" s="14" t="s">
        <v>2088</v>
      </c>
      <c r="I27" t="s">
        <v>617</v>
      </c>
      <c r="J27" s="14" t="s">
        <v>72</v>
      </c>
      <c r="K27" s="15">
        <v>45292</v>
      </c>
      <c r="L27" s="14" t="s">
        <v>2848</v>
      </c>
      <c r="M27" t="s">
        <v>3500</v>
      </c>
      <c r="N27" s="15">
        <v>45292</v>
      </c>
      <c r="O27" s="14" t="s">
        <v>3521</v>
      </c>
      <c r="P27">
        <v>0</v>
      </c>
    </row>
    <row r="28" spans="1:16" x14ac:dyDescent="0.3">
      <c r="A28">
        <v>27</v>
      </c>
      <c r="B28" s="14" t="s">
        <v>2248</v>
      </c>
      <c r="C28" s="14" t="s">
        <v>2096</v>
      </c>
      <c r="D28" s="14" t="s">
        <v>3489</v>
      </c>
      <c r="E28" s="14" t="s">
        <v>1113</v>
      </c>
      <c r="F28" s="14" t="s">
        <v>1144</v>
      </c>
      <c r="G28" s="14" t="s">
        <v>1540</v>
      </c>
      <c r="H28" s="14" t="s">
        <v>2052</v>
      </c>
      <c r="I28" t="s">
        <v>618</v>
      </c>
      <c r="J28" s="14" t="s">
        <v>27</v>
      </c>
      <c r="K28" s="15">
        <v>45261</v>
      </c>
      <c r="L28" s="14" t="s">
        <v>2848</v>
      </c>
      <c r="M28" t="s">
        <v>3523</v>
      </c>
      <c r="N28" s="15"/>
      <c r="O28" s="14"/>
      <c r="P28">
        <v>190</v>
      </c>
    </row>
    <row r="29" spans="1:16" x14ac:dyDescent="0.3">
      <c r="A29">
        <v>28</v>
      </c>
      <c r="B29" s="14" t="s">
        <v>2249</v>
      </c>
      <c r="C29" s="14" t="s">
        <v>147</v>
      </c>
      <c r="D29" s="14" t="s">
        <v>3490</v>
      </c>
      <c r="E29" s="14" t="s">
        <v>1118</v>
      </c>
      <c r="F29" s="14" t="s">
        <v>1145</v>
      </c>
      <c r="G29" s="14" t="s">
        <v>1536</v>
      </c>
      <c r="H29" s="14"/>
      <c r="I29" t="s">
        <v>619</v>
      </c>
      <c r="J29" s="14" t="s">
        <v>27</v>
      </c>
      <c r="K29" s="15">
        <v>45292</v>
      </c>
      <c r="L29" s="14" t="s">
        <v>2848</v>
      </c>
      <c r="M29" t="s">
        <v>3524</v>
      </c>
      <c r="N29" s="15"/>
      <c r="O29" s="14" t="s">
        <v>3521</v>
      </c>
    </row>
    <row r="30" spans="1:16" x14ac:dyDescent="0.3">
      <c r="A30">
        <v>29</v>
      </c>
      <c r="B30" s="14" t="s">
        <v>2250</v>
      </c>
      <c r="C30" s="14" t="s">
        <v>2097</v>
      </c>
      <c r="D30" s="14" t="s">
        <v>3490</v>
      </c>
      <c r="E30" s="14" t="s">
        <v>1118</v>
      </c>
      <c r="F30" s="14" t="s">
        <v>1146</v>
      </c>
      <c r="G30" s="14" t="s">
        <v>1541</v>
      </c>
      <c r="H30" s="14" t="s">
        <v>2088</v>
      </c>
      <c r="I30" t="s">
        <v>620</v>
      </c>
      <c r="J30" s="14" t="s">
        <v>30</v>
      </c>
      <c r="K30" s="15">
        <v>45292</v>
      </c>
      <c r="L30" s="14" t="s">
        <v>2848</v>
      </c>
      <c r="M30" t="s">
        <v>3500</v>
      </c>
      <c r="N30" s="15">
        <v>45292</v>
      </c>
      <c r="O30" s="14" t="s">
        <v>3521</v>
      </c>
      <c r="P30">
        <v>0</v>
      </c>
    </row>
    <row r="31" spans="1:16" x14ac:dyDescent="0.3">
      <c r="A31">
        <v>30</v>
      </c>
      <c r="B31" s="14" t="s">
        <v>2251</v>
      </c>
      <c r="C31" s="14" t="s">
        <v>148</v>
      </c>
      <c r="D31" s="14" t="s">
        <v>3490</v>
      </c>
      <c r="E31" s="14" t="s">
        <v>1118</v>
      </c>
      <c r="F31" s="14" t="s">
        <v>1147</v>
      </c>
      <c r="G31" s="14" t="s">
        <v>1542</v>
      </c>
      <c r="H31" s="14"/>
      <c r="J31" s="14" t="s">
        <v>72</v>
      </c>
      <c r="K31" s="15">
        <v>45261</v>
      </c>
      <c r="L31" s="14" t="s">
        <v>2848</v>
      </c>
      <c r="M31" t="s">
        <v>3524</v>
      </c>
      <c r="N31" s="15"/>
      <c r="O31" s="14"/>
      <c r="P31">
        <v>190</v>
      </c>
    </row>
    <row r="32" spans="1:16" x14ac:dyDescent="0.3">
      <c r="A32">
        <v>31</v>
      </c>
      <c r="B32" s="14" t="s">
        <v>2252</v>
      </c>
      <c r="C32" s="14" t="s">
        <v>149</v>
      </c>
      <c r="D32" s="14" t="s">
        <v>3490</v>
      </c>
      <c r="E32" s="14" t="s">
        <v>1118</v>
      </c>
      <c r="F32" s="14" t="s">
        <v>1143</v>
      </c>
      <c r="G32" s="14" t="s">
        <v>1543</v>
      </c>
      <c r="H32" s="14"/>
      <c r="I32" t="s">
        <v>621</v>
      </c>
      <c r="J32" s="14" t="s">
        <v>35</v>
      </c>
      <c r="K32" s="15">
        <v>45261</v>
      </c>
      <c r="L32" s="14" t="s">
        <v>2847</v>
      </c>
      <c r="M32" t="s">
        <v>3524</v>
      </c>
      <c r="N32" s="15"/>
      <c r="O32" s="14"/>
      <c r="P32">
        <v>190</v>
      </c>
    </row>
    <row r="33" spans="1:16" x14ac:dyDescent="0.3">
      <c r="A33">
        <v>32</v>
      </c>
      <c r="B33" s="14" t="s">
        <v>2253</v>
      </c>
      <c r="C33" s="14" t="s">
        <v>150</v>
      </c>
      <c r="D33" s="14" t="s">
        <v>3490</v>
      </c>
      <c r="E33" s="14" t="s">
        <v>1118</v>
      </c>
      <c r="F33" s="14" t="s">
        <v>1148</v>
      </c>
      <c r="G33" s="14" t="s">
        <v>1544</v>
      </c>
      <c r="H33" s="14" t="s">
        <v>2052</v>
      </c>
      <c r="I33" t="s">
        <v>622</v>
      </c>
      <c r="J33" s="14" t="s">
        <v>35</v>
      </c>
      <c r="K33" s="15">
        <v>45261</v>
      </c>
      <c r="L33" s="14" t="s">
        <v>2847</v>
      </c>
      <c r="M33" t="s">
        <v>3523</v>
      </c>
      <c r="N33" s="15"/>
      <c r="O33" s="14"/>
      <c r="P33">
        <v>190</v>
      </c>
    </row>
    <row r="34" spans="1:16" x14ac:dyDescent="0.3">
      <c r="A34">
        <v>33</v>
      </c>
      <c r="B34" s="14" t="s">
        <v>2254</v>
      </c>
      <c r="C34" s="14" t="s">
        <v>2098</v>
      </c>
      <c r="D34" s="14" t="s">
        <v>3490</v>
      </c>
      <c r="E34" s="14" t="s">
        <v>1118</v>
      </c>
      <c r="F34" s="14" t="s">
        <v>1143</v>
      </c>
      <c r="G34" s="14" t="s">
        <v>1545</v>
      </c>
      <c r="H34" s="14" t="s">
        <v>2058</v>
      </c>
      <c r="I34" t="s">
        <v>623</v>
      </c>
      <c r="J34" s="14" t="s">
        <v>72</v>
      </c>
      <c r="K34" s="15">
        <v>45292</v>
      </c>
      <c r="L34" s="14" t="s">
        <v>2848</v>
      </c>
      <c r="M34" t="s">
        <v>3500</v>
      </c>
      <c r="N34" s="15">
        <v>45292</v>
      </c>
      <c r="O34" s="14" t="s">
        <v>3521</v>
      </c>
      <c r="P34">
        <v>0</v>
      </c>
    </row>
    <row r="35" spans="1:16" x14ac:dyDescent="0.3">
      <c r="A35">
        <v>34</v>
      </c>
      <c r="B35" s="14" t="s">
        <v>2255</v>
      </c>
      <c r="C35" s="14" t="s">
        <v>151</v>
      </c>
      <c r="D35" s="14" t="s">
        <v>3490</v>
      </c>
      <c r="E35" s="14" t="s">
        <v>1118</v>
      </c>
      <c r="F35" s="14" t="s">
        <v>1149</v>
      </c>
      <c r="G35" s="14" t="s">
        <v>1546</v>
      </c>
      <c r="H35" s="14" t="s">
        <v>2059</v>
      </c>
      <c r="I35" t="s">
        <v>624</v>
      </c>
      <c r="J35" s="14" t="s">
        <v>30</v>
      </c>
      <c r="K35" s="15">
        <v>45292</v>
      </c>
      <c r="L35" s="14" t="s">
        <v>2848</v>
      </c>
      <c r="M35" t="s">
        <v>3500</v>
      </c>
      <c r="N35" s="15">
        <v>45292</v>
      </c>
      <c r="O35" s="14" t="s">
        <v>3521</v>
      </c>
      <c r="P35">
        <v>0</v>
      </c>
    </row>
    <row r="36" spans="1:16" x14ac:dyDescent="0.3">
      <c r="A36">
        <v>35</v>
      </c>
      <c r="B36" s="14" t="s">
        <v>2256</v>
      </c>
      <c r="C36" s="14" t="s">
        <v>152</v>
      </c>
      <c r="D36" s="14" t="s">
        <v>3490</v>
      </c>
      <c r="E36" s="14" t="s">
        <v>1118</v>
      </c>
      <c r="F36" s="14" t="s">
        <v>1150</v>
      </c>
      <c r="G36" s="14" t="s">
        <v>1547</v>
      </c>
      <c r="H36" s="14"/>
      <c r="I36" t="s">
        <v>625</v>
      </c>
      <c r="J36" s="14" t="s">
        <v>30</v>
      </c>
      <c r="K36" s="15">
        <v>45292</v>
      </c>
      <c r="L36" s="14" t="s">
        <v>2848</v>
      </c>
      <c r="M36" t="s">
        <v>3524</v>
      </c>
      <c r="N36" s="15"/>
      <c r="O36" s="14" t="s">
        <v>3521</v>
      </c>
    </row>
    <row r="37" spans="1:16" x14ac:dyDescent="0.3">
      <c r="A37">
        <v>36</v>
      </c>
      <c r="B37" s="14" t="s">
        <v>2257</v>
      </c>
      <c r="C37" s="14" t="s">
        <v>153</v>
      </c>
      <c r="D37" s="14" t="s">
        <v>3490</v>
      </c>
      <c r="E37" s="14" t="s">
        <v>1118</v>
      </c>
      <c r="F37" s="14" t="s">
        <v>1143</v>
      </c>
      <c r="G37" s="14" t="s">
        <v>1548</v>
      </c>
      <c r="H37" s="14"/>
      <c r="I37" t="s">
        <v>626</v>
      </c>
      <c r="J37" s="14" t="s">
        <v>72</v>
      </c>
      <c r="K37" s="15">
        <v>45292</v>
      </c>
      <c r="L37" s="14" t="s">
        <v>2848</v>
      </c>
      <c r="M37" t="s">
        <v>3524</v>
      </c>
      <c r="N37" s="15"/>
      <c r="O37" s="14" t="s">
        <v>3521</v>
      </c>
    </row>
    <row r="38" spans="1:16" x14ac:dyDescent="0.3">
      <c r="A38">
        <v>37</v>
      </c>
      <c r="B38" s="14" t="s">
        <v>2258</v>
      </c>
      <c r="C38" s="14" t="s">
        <v>154</v>
      </c>
      <c r="D38" s="14" t="s">
        <v>3490</v>
      </c>
      <c r="E38" s="14" t="s">
        <v>1118</v>
      </c>
      <c r="F38" s="14" t="s">
        <v>1143</v>
      </c>
      <c r="G38" s="14" t="s">
        <v>1549</v>
      </c>
      <c r="H38" s="14" t="s">
        <v>2088</v>
      </c>
      <c r="I38" t="s">
        <v>627</v>
      </c>
      <c r="J38" s="14" t="s">
        <v>72</v>
      </c>
      <c r="K38" s="15">
        <v>45292</v>
      </c>
      <c r="L38" s="14" t="s">
        <v>2848</v>
      </c>
      <c r="M38" t="s">
        <v>3500</v>
      </c>
      <c r="N38" s="15">
        <v>45292</v>
      </c>
      <c r="O38" s="14" t="s">
        <v>3521</v>
      </c>
      <c r="P38">
        <v>0</v>
      </c>
    </row>
    <row r="39" spans="1:16" x14ac:dyDescent="0.3">
      <c r="A39">
        <v>38</v>
      </c>
      <c r="B39" s="14" t="s">
        <v>2259</v>
      </c>
      <c r="C39" s="14" t="s">
        <v>2099</v>
      </c>
      <c r="D39" s="14" t="s">
        <v>3490</v>
      </c>
      <c r="E39" s="14" t="s">
        <v>1118</v>
      </c>
      <c r="F39" s="14" t="s">
        <v>1151</v>
      </c>
      <c r="G39" s="14" t="s">
        <v>1550</v>
      </c>
      <c r="H39" s="14" t="s">
        <v>2053</v>
      </c>
      <c r="I39" t="s">
        <v>628</v>
      </c>
      <c r="J39" s="14" t="s">
        <v>72</v>
      </c>
      <c r="K39" s="15">
        <v>45292</v>
      </c>
      <c r="L39" s="14" t="s">
        <v>2848</v>
      </c>
      <c r="M39" t="s">
        <v>3500</v>
      </c>
      <c r="N39" s="15">
        <v>45292</v>
      </c>
      <c r="O39" s="14" t="s">
        <v>3521</v>
      </c>
      <c r="P39">
        <v>0</v>
      </c>
    </row>
    <row r="40" spans="1:16" x14ac:dyDescent="0.3">
      <c r="A40">
        <v>39</v>
      </c>
      <c r="B40" s="14" t="s">
        <v>2260</v>
      </c>
      <c r="C40" s="14" t="s">
        <v>352</v>
      </c>
      <c r="D40" s="14" t="s">
        <v>3489</v>
      </c>
      <c r="E40" s="14" t="s">
        <v>1118</v>
      </c>
      <c r="F40" s="14" t="s">
        <v>1152</v>
      </c>
      <c r="G40" s="14" t="s">
        <v>1551</v>
      </c>
      <c r="H40" s="14" t="s">
        <v>2052</v>
      </c>
      <c r="I40" t="s">
        <v>629</v>
      </c>
      <c r="J40" s="14" t="s">
        <v>30</v>
      </c>
      <c r="K40" s="15">
        <v>45292</v>
      </c>
      <c r="L40" s="14" t="s">
        <v>2845</v>
      </c>
      <c r="M40" t="s">
        <v>3524</v>
      </c>
      <c r="N40" s="15"/>
      <c r="O40" s="14" t="s">
        <v>3521</v>
      </c>
    </row>
    <row r="41" spans="1:16" x14ac:dyDescent="0.3">
      <c r="A41">
        <v>40</v>
      </c>
      <c r="B41" s="14" t="s">
        <v>2261</v>
      </c>
      <c r="C41" s="14" t="s">
        <v>155</v>
      </c>
      <c r="D41" s="14" t="s">
        <v>3489</v>
      </c>
      <c r="E41" s="14" t="s">
        <v>1118</v>
      </c>
      <c r="F41" s="14" t="s">
        <v>1153</v>
      </c>
      <c r="G41" s="14" t="s">
        <v>1552</v>
      </c>
      <c r="H41" s="14" t="s">
        <v>2052</v>
      </c>
      <c r="I41" t="s">
        <v>630</v>
      </c>
      <c r="J41" s="14" t="s">
        <v>27</v>
      </c>
      <c r="K41" s="15">
        <v>45261</v>
      </c>
      <c r="L41" s="14" t="s">
        <v>2847</v>
      </c>
      <c r="M41" t="s">
        <v>3523</v>
      </c>
      <c r="N41" s="15"/>
      <c r="O41" s="14"/>
      <c r="P41">
        <v>190</v>
      </c>
    </row>
    <row r="42" spans="1:16" x14ac:dyDescent="0.3">
      <c r="A42">
        <v>41</v>
      </c>
      <c r="B42" s="14" t="s">
        <v>2262</v>
      </c>
      <c r="C42" s="14" t="s">
        <v>156</v>
      </c>
      <c r="D42" s="14" t="s">
        <v>3489</v>
      </c>
      <c r="E42" s="14" t="s">
        <v>1117</v>
      </c>
      <c r="F42" s="14" t="s">
        <v>1154</v>
      </c>
      <c r="G42" s="14"/>
      <c r="H42" s="14"/>
      <c r="I42" t="s">
        <v>631</v>
      </c>
      <c r="J42" s="14" t="s">
        <v>72</v>
      </c>
      <c r="K42" s="15">
        <v>45261</v>
      </c>
      <c r="L42" s="14" t="s">
        <v>2848</v>
      </c>
      <c r="M42" t="s">
        <v>3523</v>
      </c>
      <c r="N42" s="15"/>
      <c r="O42" s="14"/>
      <c r="P42">
        <v>190</v>
      </c>
    </row>
    <row r="43" spans="1:16" x14ac:dyDescent="0.3">
      <c r="A43">
        <v>42</v>
      </c>
      <c r="B43" s="14" t="s">
        <v>2263</v>
      </c>
      <c r="C43" s="14" t="s">
        <v>157</v>
      </c>
      <c r="D43" s="14" t="s">
        <v>3489</v>
      </c>
      <c r="E43" s="14" t="s">
        <v>1118</v>
      </c>
      <c r="F43" s="14" t="s">
        <v>1155</v>
      </c>
      <c r="G43" s="14" t="s">
        <v>1553</v>
      </c>
      <c r="H43" s="14" t="s">
        <v>2052</v>
      </c>
      <c r="I43" t="s">
        <v>632</v>
      </c>
      <c r="J43" s="14" t="s">
        <v>3525</v>
      </c>
      <c r="K43" s="15">
        <v>45261</v>
      </c>
      <c r="L43" s="14" t="s">
        <v>2847</v>
      </c>
      <c r="M43" t="s">
        <v>3523</v>
      </c>
      <c r="N43" s="15"/>
      <c r="O43" s="14"/>
      <c r="P43">
        <v>190</v>
      </c>
    </row>
    <row r="44" spans="1:16" x14ac:dyDescent="0.3">
      <c r="A44">
        <v>43</v>
      </c>
      <c r="B44" s="14" t="s">
        <v>2264</v>
      </c>
      <c r="C44" s="14" t="s">
        <v>2100</v>
      </c>
      <c r="D44" s="14" t="s">
        <v>3489</v>
      </c>
      <c r="E44" s="14" t="s">
        <v>1118</v>
      </c>
      <c r="F44" s="14" t="s">
        <v>1156</v>
      </c>
      <c r="G44" s="14" t="s">
        <v>1554</v>
      </c>
      <c r="H44" s="14"/>
      <c r="I44" t="s">
        <v>633</v>
      </c>
      <c r="J44" s="14" t="s">
        <v>3525</v>
      </c>
      <c r="K44" s="15">
        <v>45292</v>
      </c>
      <c r="L44" s="14" t="s">
        <v>2847</v>
      </c>
      <c r="M44" t="s">
        <v>3524</v>
      </c>
      <c r="N44" s="15"/>
      <c r="O44" s="14" t="s">
        <v>3521</v>
      </c>
    </row>
    <row r="45" spans="1:16" x14ac:dyDescent="0.3">
      <c r="A45">
        <v>44</v>
      </c>
      <c r="B45" s="14" t="s">
        <v>2265</v>
      </c>
      <c r="C45" s="14" t="s">
        <v>476</v>
      </c>
      <c r="D45" s="14" t="s">
        <v>3490</v>
      </c>
      <c r="E45" s="14" t="s">
        <v>1118</v>
      </c>
      <c r="F45" s="14" t="s">
        <v>1157</v>
      </c>
      <c r="G45" s="14" t="s">
        <v>1555</v>
      </c>
      <c r="H45" s="14" t="s">
        <v>2052</v>
      </c>
      <c r="I45" t="s">
        <v>634</v>
      </c>
      <c r="J45" s="14" t="s">
        <v>30</v>
      </c>
      <c r="K45" s="15">
        <v>45261</v>
      </c>
      <c r="L45" s="14" t="s">
        <v>2847</v>
      </c>
      <c r="M45" t="s">
        <v>3523</v>
      </c>
      <c r="N45" s="15"/>
      <c r="O45" s="14"/>
      <c r="P45">
        <v>190</v>
      </c>
    </row>
    <row r="46" spans="1:16" x14ac:dyDescent="0.3">
      <c r="A46">
        <v>45</v>
      </c>
      <c r="B46" s="14" t="s">
        <v>2266</v>
      </c>
      <c r="C46" s="14" t="s">
        <v>158</v>
      </c>
      <c r="D46" s="14" t="s">
        <v>3490</v>
      </c>
      <c r="E46" s="14" t="s">
        <v>1118</v>
      </c>
      <c r="F46" s="14" t="s">
        <v>1149</v>
      </c>
      <c r="G46" s="14" t="s">
        <v>1556</v>
      </c>
      <c r="H46" s="14" t="s">
        <v>2088</v>
      </c>
      <c r="I46" t="s">
        <v>635</v>
      </c>
      <c r="J46" s="14" t="s">
        <v>30</v>
      </c>
      <c r="K46" s="15">
        <v>45292</v>
      </c>
      <c r="L46" s="14" t="s">
        <v>2847</v>
      </c>
      <c r="M46" t="s">
        <v>3500</v>
      </c>
      <c r="N46" s="15">
        <v>45292</v>
      </c>
      <c r="O46" s="14"/>
      <c r="P46">
        <v>159</v>
      </c>
    </row>
    <row r="47" spans="1:16" x14ac:dyDescent="0.3">
      <c r="A47">
        <v>46</v>
      </c>
      <c r="B47" s="14" t="s">
        <v>2267</v>
      </c>
      <c r="C47" s="14" t="s">
        <v>159</v>
      </c>
      <c r="D47" s="14" t="s">
        <v>3490</v>
      </c>
      <c r="E47" s="14" t="s">
        <v>1117</v>
      </c>
      <c r="F47" s="14" t="s">
        <v>1158</v>
      </c>
      <c r="G47" s="14" t="s">
        <v>1557</v>
      </c>
      <c r="H47" s="14" t="s">
        <v>704</v>
      </c>
      <c r="I47" t="s">
        <v>636</v>
      </c>
      <c r="J47" s="14" t="s">
        <v>72</v>
      </c>
      <c r="K47" s="15">
        <v>45292</v>
      </c>
      <c r="L47" s="14" t="s">
        <v>2848</v>
      </c>
      <c r="M47" t="s">
        <v>3500</v>
      </c>
      <c r="N47" s="15">
        <v>45292</v>
      </c>
      <c r="O47" s="14" t="s">
        <v>3521</v>
      </c>
      <c r="P47">
        <v>0</v>
      </c>
    </row>
    <row r="48" spans="1:16" x14ac:dyDescent="0.3">
      <c r="A48">
        <v>47</v>
      </c>
      <c r="B48" s="14" t="s">
        <v>2268</v>
      </c>
      <c r="C48" s="14" t="s">
        <v>2101</v>
      </c>
      <c r="D48" s="14" t="s">
        <v>3490</v>
      </c>
      <c r="E48" s="14" t="s">
        <v>1118</v>
      </c>
      <c r="F48" s="14" t="s">
        <v>1159</v>
      </c>
      <c r="G48" s="14" t="s">
        <v>1558</v>
      </c>
      <c r="H48" s="14"/>
      <c r="I48" t="s">
        <v>637</v>
      </c>
      <c r="J48" s="14" t="s">
        <v>72</v>
      </c>
      <c r="K48" s="15">
        <v>45261</v>
      </c>
      <c r="L48" s="14" t="s">
        <v>2848</v>
      </c>
      <c r="M48" t="s">
        <v>3524</v>
      </c>
      <c r="N48" s="15"/>
      <c r="O48" s="14"/>
      <c r="P48">
        <v>190</v>
      </c>
    </row>
    <row r="49" spans="1:16" x14ac:dyDescent="0.3">
      <c r="A49">
        <v>48</v>
      </c>
      <c r="B49" s="14" t="s">
        <v>2269</v>
      </c>
      <c r="C49" s="14" t="s">
        <v>160</v>
      </c>
      <c r="D49" s="14" t="s">
        <v>3490</v>
      </c>
      <c r="E49" s="14" t="s">
        <v>1118</v>
      </c>
      <c r="F49" s="14" t="s">
        <v>1121</v>
      </c>
      <c r="G49" s="14" t="s">
        <v>1559</v>
      </c>
      <c r="H49" s="14"/>
      <c r="I49" t="s">
        <v>638</v>
      </c>
      <c r="J49" s="14" t="s">
        <v>30</v>
      </c>
      <c r="K49" s="15">
        <v>45292</v>
      </c>
      <c r="L49" s="14" t="s">
        <v>2848</v>
      </c>
      <c r="M49" t="s">
        <v>3524</v>
      </c>
      <c r="N49" s="15"/>
      <c r="O49" s="14" t="s">
        <v>3521</v>
      </c>
    </row>
    <row r="50" spans="1:16" x14ac:dyDescent="0.3">
      <c r="A50">
        <v>49</v>
      </c>
      <c r="B50" s="14" t="s">
        <v>2270</v>
      </c>
      <c r="C50" s="14" t="s">
        <v>161</v>
      </c>
      <c r="D50" s="14" t="s">
        <v>3490</v>
      </c>
      <c r="E50" s="14" t="s">
        <v>1118</v>
      </c>
      <c r="F50" s="14" t="s">
        <v>1160</v>
      </c>
      <c r="G50" s="14" t="s">
        <v>1560</v>
      </c>
      <c r="H50" s="14" t="s">
        <v>2052</v>
      </c>
      <c r="I50" t="s">
        <v>639</v>
      </c>
      <c r="J50" s="14" t="s">
        <v>30</v>
      </c>
      <c r="K50" s="15">
        <v>45261</v>
      </c>
      <c r="L50" s="14" t="s">
        <v>2848</v>
      </c>
      <c r="M50" t="s">
        <v>3523</v>
      </c>
      <c r="N50" s="15"/>
      <c r="O50" s="14"/>
      <c r="P50">
        <v>190</v>
      </c>
    </row>
    <row r="51" spans="1:16" x14ac:dyDescent="0.3">
      <c r="A51">
        <v>50</v>
      </c>
      <c r="B51" s="14" t="s">
        <v>2271</v>
      </c>
      <c r="C51" s="14" t="s">
        <v>162</v>
      </c>
      <c r="D51" s="14" t="s">
        <v>3489</v>
      </c>
      <c r="E51" s="14" t="s">
        <v>1118</v>
      </c>
      <c r="F51" s="14" t="s">
        <v>1161</v>
      </c>
      <c r="G51" s="14" t="s">
        <v>1561</v>
      </c>
      <c r="H51" s="14"/>
      <c r="I51" t="s">
        <v>640</v>
      </c>
      <c r="J51" s="14" t="s">
        <v>3525</v>
      </c>
      <c r="K51" s="15">
        <v>45292</v>
      </c>
      <c r="L51" s="14" t="s">
        <v>2845</v>
      </c>
      <c r="M51" t="s">
        <v>3524</v>
      </c>
      <c r="N51" s="15"/>
      <c r="O51" s="14" t="s">
        <v>3521</v>
      </c>
    </row>
    <row r="52" spans="1:16" x14ac:dyDescent="0.3">
      <c r="A52">
        <v>51</v>
      </c>
      <c r="B52" s="14" t="s">
        <v>2272</v>
      </c>
      <c r="C52" s="14" t="s">
        <v>163</v>
      </c>
      <c r="D52" s="14" t="s">
        <v>3490</v>
      </c>
      <c r="E52" s="14" t="s">
        <v>1118</v>
      </c>
      <c r="F52" s="14" t="s">
        <v>11</v>
      </c>
      <c r="G52" s="14" t="s">
        <v>1562</v>
      </c>
      <c r="H52" s="14"/>
      <c r="I52" t="s">
        <v>641</v>
      </c>
      <c r="J52" s="14" t="s">
        <v>35</v>
      </c>
      <c r="K52" s="15">
        <v>45292</v>
      </c>
      <c r="L52" s="14" t="s">
        <v>2845</v>
      </c>
      <c r="M52" t="s">
        <v>3524</v>
      </c>
      <c r="N52" s="15"/>
      <c r="O52" s="14" t="s">
        <v>3521</v>
      </c>
    </row>
    <row r="53" spans="1:16" x14ac:dyDescent="0.3">
      <c r="A53">
        <v>52</v>
      </c>
      <c r="B53" s="14" t="s">
        <v>2273</v>
      </c>
      <c r="C53" s="14" t="s">
        <v>164</v>
      </c>
      <c r="D53" s="14" t="s">
        <v>3490</v>
      </c>
      <c r="E53" s="14" t="s">
        <v>1118</v>
      </c>
      <c r="F53" s="14" t="s">
        <v>1162</v>
      </c>
      <c r="G53" s="14" t="s">
        <v>1563</v>
      </c>
      <c r="H53" s="14" t="s">
        <v>2052</v>
      </c>
      <c r="I53" t="s">
        <v>642</v>
      </c>
      <c r="J53" s="14" t="s">
        <v>30</v>
      </c>
      <c r="K53" s="15">
        <v>45292</v>
      </c>
      <c r="L53" s="14" t="s">
        <v>2847</v>
      </c>
      <c r="M53" t="s">
        <v>3524</v>
      </c>
      <c r="N53" s="15"/>
      <c r="O53" s="14" t="s">
        <v>3521</v>
      </c>
    </row>
    <row r="54" spans="1:16" x14ac:dyDescent="0.3">
      <c r="A54">
        <v>53</v>
      </c>
      <c r="B54" s="14" t="s">
        <v>2274</v>
      </c>
      <c r="C54" s="14" t="s">
        <v>165</v>
      </c>
      <c r="D54" s="14" t="s">
        <v>3489</v>
      </c>
      <c r="E54" s="14" t="s">
        <v>1118</v>
      </c>
      <c r="F54" s="14" t="s">
        <v>1163</v>
      </c>
      <c r="G54" s="14" t="s">
        <v>1561</v>
      </c>
      <c r="H54" s="14"/>
      <c r="I54" t="s">
        <v>643</v>
      </c>
      <c r="J54" s="14" t="s">
        <v>35</v>
      </c>
      <c r="K54" s="15">
        <v>45261</v>
      </c>
      <c r="L54" s="14" t="s">
        <v>2847</v>
      </c>
      <c r="M54" t="s">
        <v>3524</v>
      </c>
      <c r="N54" s="15"/>
      <c r="O54" s="14"/>
      <c r="P54">
        <v>190</v>
      </c>
    </row>
    <row r="55" spans="1:16" x14ac:dyDescent="0.3">
      <c r="A55">
        <v>54</v>
      </c>
      <c r="B55" s="14" t="s">
        <v>2275</v>
      </c>
      <c r="C55" s="14" t="s">
        <v>166</v>
      </c>
      <c r="D55" s="14" t="s">
        <v>3490</v>
      </c>
      <c r="E55" s="14" t="s">
        <v>1113</v>
      </c>
      <c r="F55" s="14" t="s">
        <v>11</v>
      </c>
      <c r="G55" s="14" t="s">
        <v>1564</v>
      </c>
      <c r="H55" s="14"/>
      <c r="I55" t="s">
        <v>644</v>
      </c>
      <c r="J55" s="14" t="s">
        <v>35</v>
      </c>
      <c r="K55" s="15">
        <v>45261</v>
      </c>
      <c r="L55" s="14" t="s">
        <v>2845</v>
      </c>
      <c r="M55" t="s">
        <v>3524</v>
      </c>
      <c r="N55" s="15"/>
      <c r="O55" s="14"/>
      <c r="P55">
        <v>190</v>
      </c>
    </row>
    <row r="56" spans="1:16" x14ac:dyDescent="0.3">
      <c r="A56">
        <v>55</v>
      </c>
      <c r="B56" s="14" t="s">
        <v>2276</v>
      </c>
      <c r="C56" s="14" t="s">
        <v>167</v>
      </c>
      <c r="D56" s="14" t="s">
        <v>3490</v>
      </c>
      <c r="E56" s="14" t="s">
        <v>1113</v>
      </c>
      <c r="F56" s="14" t="s">
        <v>30</v>
      </c>
      <c r="G56" s="14" t="s">
        <v>1565</v>
      </c>
      <c r="H56" s="14" t="s">
        <v>2052</v>
      </c>
      <c r="I56" t="s">
        <v>645</v>
      </c>
      <c r="J56" s="14" t="s">
        <v>30</v>
      </c>
      <c r="K56" s="15">
        <v>45261</v>
      </c>
      <c r="L56" s="14" t="s">
        <v>2847</v>
      </c>
      <c r="M56" t="s">
        <v>3524</v>
      </c>
      <c r="N56" s="15"/>
      <c r="O56" s="14"/>
      <c r="P56">
        <v>190</v>
      </c>
    </row>
    <row r="57" spans="1:16" x14ac:dyDescent="0.3">
      <c r="A57">
        <v>56</v>
      </c>
      <c r="B57" s="14" t="s">
        <v>2277</v>
      </c>
      <c r="C57" s="14" t="s">
        <v>168</v>
      </c>
      <c r="D57" s="14" t="s">
        <v>3490</v>
      </c>
      <c r="E57" s="14" t="s">
        <v>1118</v>
      </c>
      <c r="F57" s="14" t="s">
        <v>1164</v>
      </c>
      <c r="G57" s="14" t="s">
        <v>1566</v>
      </c>
      <c r="H57" s="14" t="s">
        <v>2052</v>
      </c>
      <c r="I57" t="s">
        <v>646</v>
      </c>
      <c r="J57" s="14" t="s">
        <v>20</v>
      </c>
      <c r="K57" s="15">
        <v>45261</v>
      </c>
      <c r="L57" s="14" t="s">
        <v>2845</v>
      </c>
      <c r="M57" t="s">
        <v>3524</v>
      </c>
      <c r="N57" s="15"/>
      <c r="O57" s="14"/>
      <c r="P57">
        <v>190</v>
      </c>
    </row>
    <row r="58" spans="1:16" x14ac:dyDescent="0.3">
      <c r="A58">
        <v>57</v>
      </c>
      <c r="B58" s="14" t="s">
        <v>2278</v>
      </c>
      <c r="C58" s="14" t="s">
        <v>169</v>
      </c>
      <c r="D58" s="14" t="s">
        <v>3489</v>
      </c>
      <c r="E58" s="14" t="s">
        <v>1118</v>
      </c>
      <c r="F58" s="14" t="s">
        <v>1165</v>
      </c>
      <c r="G58" s="14" t="s">
        <v>1567</v>
      </c>
      <c r="H58" s="14"/>
      <c r="I58" t="s">
        <v>647</v>
      </c>
      <c r="J58" s="14" t="s">
        <v>36</v>
      </c>
      <c r="K58" s="15">
        <v>45261</v>
      </c>
      <c r="L58" s="14" t="s">
        <v>2846</v>
      </c>
      <c r="M58" t="s">
        <v>3524</v>
      </c>
      <c r="N58" s="15"/>
      <c r="O58" s="14"/>
      <c r="P58">
        <v>190</v>
      </c>
    </row>
    <row r="59" spans="1:16" x14ac:dyDescent="0.3">
      <c r="A59">
        <v>58</v>
      </c>
      <c r="B59" s="14" t="s">
        <v>2279</v>
      </c>
      <c r="C59" s="14" t="s">
        <v>170</v>
      </c>
      <c r="D59" s="14" t="s">
        <v>3490</v>
      </c>
      <c r="E59" s="14" t="s">
        <v>1118</v>
      </c>
      <c r="F59" s="14" t="s">
        <v>1166</v>
      </c>
      <c r="G59" s="14" t="s">
        <v>1568</v>
      </c>
      <c r="H59" s="14"/>
      <c r="I59" t="s">
        <v>648</v>
      </c>
      <c r="J59" s="14" t="s">
        <v>3525</v>
      </c>
      <c r="K59" s="15">
        <v>45292</v>
      </c>
      <c r="L59" s="14" t="s">
        <v>2847</v>
      </c>
      <c r="M59" t="s">
        <v>3524</v>
      </c>
      <c r="N59" s="15"/>
      <c r="O59" s="14" t="s">
        <v>3521</v>
      </c>
    </row>
    <row r="60" spans="1:16" x14ac:dyDescent="0.3">
      <c r="A60">
        <v>59</v>
      </c>
      <c r="B60" s="14" t="s">
        <v>2280</v>
      </c>
      <c r="C60" s="14" t="s">
        <v>171</v>
      </c>
      <c r="D60" s="14" t="s">
        <v>3490</v>
      </c>
      <c r="E60" s="14" t="s">
        <v>1118</v>
      </c>
      <c r="F60" s="14" t="s">
        <v>1133</v>
      </c>
      <c r="G60" s="14" t="s">
        <v>1569</v>
      </c>
      <c r="H60" s="14"/>
      <c r="J60" s="14" t="s">
        <v>30</v>
      </c>
      <c r="K60" s="15">
        <v>45261</v>
      </c>
      <c r="L60" s="14" t="s">
        <v>2847</v>
      </c>
      <c r="M60" t="s">
        <v>3523</v>
      </c>
      <c r="N60" s="15"/>
      <c r="O60" s="14"/>
      <c r="P60">
        <v>190</v>
      </c>
    </row>
    <row r="61" spans="1:16" x14ac:dyDescent="0.3">
      <c r="A61">
        <v>60</v>
      </c>
      <c r="B61" s="14" t="s">
        <v>2281</v>
      </c>
      <c r="C61" s="14" t="s">
        <v>172</v>
      </c>
      <c r="D61" s="14" t="s">
        <v>3489</v>
      </c>
      <c r="E61" s="14" t="s">
        <v>1118</v>
      </c>
      <c r="F61" s="14" t="s">
        <v>59</v>
      </c>
      <c r="G61" s="14" t="s">
        <v>1570</v>
      </c>
      <c r="H61" s="14" t="s">
        <v>2052</v>
      </c>
      <c r="I61" t="s">
        <v>649</v>
      </c>
      <c r="J61" s="14" t="s">
        <v>3525</v>
      </c>
      <c r="K61" s="15">
        <v>45261</v>
      </c>
      <c r="L61" s="14" t="s">
        <v>2847</v>
      </c>
      <c r="M61" t="s">
        <v>3523</v>
      </c>
      <c r="N61" s="15"/>
      <c r="O61" s="14"/>
      <c r="P61">
        <v>190</v>
      </c>
    </row>
    <row r="62" spans="1:16" x14ac:dyDescent="0.3">
      <c r="A62">
        <v>61</v>
      </c>
      <c r="B62" s="14" t="s">
        <v>2282</v>
      </c>
      <c r="C62" s="14" t="s">
        <v>173</v>
      </c>
      <c r="D62" s="14" t="s">
        <v>3490</v>
      </c>
      <c r="E62" s="14" t="s">
        <v>1118</v>
      </c>
      <c r="F62" s="14" t="s">
        <v>1167</v>
      </c>
      <c r="G62" s="14" t="s">
        <v>1571</v>
      </c>
      <c r="H62" s="14"/>
      <c r="I62" t="s">
        <v>650</v>
      </c>
      <c r="J62" s="14" t="s">
        <v>72</v>
      </c>
      <c r="K62" s="15">
        <v>45261</v>
      </c>
      <c r="L62" s="14" t="s">
        <v>2848</v>
      </c>
      <c r="M62" t="s">
        <v>3523</v>
      </c>
      <c r="N62" s="15"/>
      <c r="O62" s="14"/>
      <c r="P62">
        <v>190</v>
      </c>
    </row>
    <row r="63" spans="1:16" x14ac:dyDescent="0.3">
      <c r="A63">
        <v>62</v>
      </c>
      <c r="B63" s="14" t="s">
        <v>2283</v>
      </c>
      <c r="C63" s="14" t="s">
        <v>2102</v>
      </c>
      <c r="D63" s="14" t="s">
        <v>3490</v>
      </c>
      <c r="E63" s="14" t="s">
        <v>1118</v>
      </c>
      <c r="F63" s="14" t="s">
        <v>1168</v>
      </c>
      <c r="G63" s="14" t="s">
        <v>1572</v>
      </c>
      <c r="H63" s="14" t="s">
        <v>2052</v>
      </c>
      <c r="I63" t="s">
        <v>651</v>
      </c>
      <c r="J63" s="14" t="s">
        <v>3525</v>
      </c>
      <c r="K63" s="15">
        <v>45261</v>
      </c>
      <c r="L63" s="14" t="s">
        <v>2847</v>
      </c>
      <c r="M63" t="s">
        <v>3523</v>
      </c>
      <c r="N63" s="15"/>
      <c r="O63" s="14"/>
      <c r="P63">
        <v>190</v>
      </c>
    </row>
    <row r="64" spans="1:16" x14ac:dyDescent="0.3">
      <c r="A64">
        <v>63</v>
      </c>
      <c r="B64" s="14" t="s">
        <v>2284</v>
      </c>
      <c r="C64" s="14" t="s">
        <v>174</v>
      </c>
      <c r="D64" s="14" t="s">
        <v>3490</v>
      </c>
      <c r="E64" s="14" t="s">
        <v>1113</v>
      </c>
      <c r="F64" s="14" t="s">
        <v>1169</v>
      </c>
      <c r="G64" s="14" t="s">
        <v>1573</v>
      </c>
      <c r="H64" s="14" t="s">
        <v>2052</v>
      </c>
      <c r="I64" t="s">
        <v>652</v>
      </c>
      <c r="J64" s="14" t="s">
        <v>27</v>
      </c>
      <c r="K64" s="15">
        <v>45261</v>
      </c>
      <c r="L64" s="14" t="s">
        <v>2847</v>
      </c>
      <c r="M64" t="s">
        <v>3523</v>
      </c>
      <c r="N64" s="15"/>
      <c r="O64" s="14"/>
      <c r="P64">
        <v>190</v>
      </c>
    </row>
    <row r="65" spans="1:16" x14ac:dyDescent="0.3">
      <c r="A65">
        <v>64</v>
      </c>
      <c r="B65" s="14" t="s">
        <v>2285</v>
      </c>
      <c r="C65" s="14" t="s">
        <v>2103</v>
      </c>
      <c r="D65" s="14" t="s">
        <v>3489</v>
      </c>
      <c r="E65" s="14" t="s">
        <v>1114</v>
      </c>
      <c r="F65" s="14" t="s">
        <v>1170</v>
      </c>
      <c r="G65" s="14" t="s">
        <v>1574</v>
      </c>
      <c r="H65" s="14"/>
      <c r="I65" t="s">
        <v>653</v>
      </c>
      <c r="J65" s="14" t="s">
        <v>30</v>
      </c>
      <c r="K65" s="15">
        <v>45261</v>
      </c>
      <c r="L65" s="14" t="s">
        <v>2847</v>
      </c>
      <c r="M65" t="s">
        <v>3523</v>
      </c>
      <c r="N65" s="15"/>
      <c r="O65" s="14"/>
      <c r="P65">
        <v>190</v>
      </c>
    </row>
    <row r="66" spans="1:16" x14ac:dyDescent="0.3">
      <c r="A66">
        <v>65</v>
      </c>
      <c r="B66" s="14" t="s">
        <v>2286</v>
      </c>
      <c r="C66" s="14" t="s">
        <v>2104</v>
      </c>
      <c r="D66" s="14" t="s">
        <v>3490</v>
      </c>
      <c r="E66" s="14" t="s">
        <v>1118</v>
      </c>
      <c r="F66" s="14" t="s">
        <v>1171</v>
      </c>
      <c r="G66" s="14" t="s">
        <v>1575</v>
      </c>
      <c r="H66" s="14"/>
      <c r="I66" t="s">
        <v>654</v>
      </c>
      <c r="J66" s="14" t="s">
        <v>30</v>
      </c>
      <c r="K66" s="15">
        <v>45261</v>
      </c>
      <c r="L66" s="14" t="s">
        <v>2847</v>
      </c>
      <c r="M66" t="s">
        <v>3523</v>
      </c>
      <c r="N66" s="15"/>
      <c r="O66" s="14"/>
      <c r="P66">
        <v>190</v>
      </c>
    </row>
    <row r="67" spans="1:16" x14ac:dyDescent="0.3">
      <c r="A67">
        <v>66</v>
      </c>
      <c r="B67" s="14" t="s">
        <v>2287</v>
      </c>
      <c r="C67" s="14" t="s">
        <v>175</v>
      </c>
      <c r="D67" s="14" t="s">
        <v>3490</v>
      </c>
      <c r="E67" s="14" t="s">
        <v>1118</v>
      </c>
      <c r="F67" s="14" t="s">
        <v>1172</v>
      </c>
      <c r="G67" s="14" t="s">
        <v>1576</v>
      </c>
      <c r="H67" s="14" t="s">
        <v>2060</v>
      </c>
      <c r="I67" t="s">
        <v>655</v>
      </c>
      <c r="J67" s="14" t="s">
        <v>30</v>
      </c>
      <c r="K67" s="15">
        <v>45261</v>
      </c>
      <c r="L67" s="14" t="s">
        <v>2847</v>
      </c>
      <c r="M67" t="s">
        <v>3523</v>
      </c>
      <c r="N67" s="15"/>
      <c r="O67" s="14"/>
      <c r="P67">
        <v>190</v>
      </c>
    </row>
    <row r="68" spans="1:16" x14ac:dyDescent="0.3">
      <c r="A68">
        <v>67</v>
      </c>
      <c r="B68" s="14" t="s">
        <v>2288</v>
      </c>
      <c r="C68" s="14" t="s">
        <v>176</v>
      </c>
      <c r="D68" s="14" t="s">
        <v>3490</v>
      </c>
      <c r="E68" s="14" t="s">
        <v>1118</v>
      </c>
      <c r="F68" s="14" t="s">
        <v>1173</v>
      </c>
      <c r="G68" s="14" t="s">
        <v>1577</v>
      </c>
      <c r="H68" s="14" t="s">
        <v>2052</v>
      </c>
      <c r="I68" t="s">
        <v>656</v>
      </c>
      <c r="J68" s="14" t="s">
        <v>27</v>
      </c>
      <c r="K68" s="15">
        <v>45261</v>
      </c>
      <c r="L68" s="14" t="s">
        <v>2847</v>
      </c>
      <c r="M68" t="s">
        <v>3523</v>
      </c>
      <c r="N68" s="15"/>
      <c r="O68" s="14"/>
      <c r="P68">
        <v>190</v>
      </c>
    </row>
    <row r="69" spans="1:16" x14ac:dyDescent="0.3">
      <c r="A69">
        <v>68</v>
      </c>
      <c r="B69" s="14" t="s">
        <v>2289</v>
      </c>
      <c r="C69" s="14" t="s">
        <v>2105</v>
      </c>
      <c r="D69" s="14" t="s">
        <v>3490</v>
      </c>
      <c r="E69" s="14" t="s">
        <v>1113</v>
      </c>
      <c r="F69" s="14" t="s">
        <v>28</v>
      </c>
      <c r="G69" s="14" t="s">
        <v>1578</v>
      </c>
      <c r="H69" s="14"/>
      <c r="I69" t="s">
        <v>657</v>
      </c>
      <c r="J69" s="14" t="s">
        <v>27</v>
      </c>
      <c r="K69" s="15">
        <v>45261</v>
      </c>
      <c r="L69" s="14" t="s">
        <v>2847</v>
      </c>
      <c r="M69" t="s">
        <v>3523</v>
      </c>
      <c r="N69" s="15"/>
      <c r="O69" s="14"/>
      <c r="P69">
        <v>190</v>
      </c>
    </row>
    <row r="70" spans="1:16" x14ac:dyDescent="0.3">
      <c r="A70">
        <v>69</v>
      </c>
      <c r="B70" s="14" t="s">
        <v>2290</v>
      </c>
      <c r="C70" s="14" t="s">
        <v>2106</v>
      </c>
      <c r="D70" s="14" t="s">
        <v>3490</v>
      </c>
      <c r="E70" s="14" t="s">
        <v>1118</v>
      </c>
      <c r="F70" s="14" t="s">
        <v>28</v>
      </c>
      <c r="G70" s="14" t="s">
        <v>1579</v>
      </c>
      <c r="H70" s="14" t="s">
        <v>2052</v>
      </c>
      <c r="I70" t="s">
        <v>658</v>
      </c>
      <c r="J70" s="14" t="s">
        <v>27</v>
      </c>
      <c r="K70" s="15">
        <v>45261</v>
      </c>
      <c r="L70" s="14" t="s">
        <v>2847</v>
      </c>
      <c r="M70" t="s">
        <v>3524</v>
      </c>
      <c r="N70" s="15"/>
      <c r="O70" s="14"/>
      <c r="P70">
        <v>190</v>
      </c>
    </row>
    <row r="71" spans="1:16" x14ac:dyDescent="0.3">
      <c r="A71">
        <v>70</v>
      </c>
      <c r="B71" s="14" t="s">
        <v>2291</v>
      </c>
      <c r="C71" s="14" t="s">
        <v>177</v>
      </c>
      <c r="D71" s="14" t="s">
        <v>3490</v>
      </c>
      <c r="E71" s="14" t="s">
        <v>1118</v>
      </c>
      <c r="F71" s="14" t="s">
        <v>1174</v>
      </c>
      <c r="G71" s="14" t="s">
        <v>1580</v>
      </c>
      <c r="H71" s="14" t="s">
        <v>2052</v>
      </c>
      <c r="I71" t="s">
        <v>659</v>
      </c>
      <c r="J71" s="14" t="s">
        <v>35</v>
      </c>
      <c r="K71" s="15">
        <v>45261</v>
      </c>
      <c r="L71" s="14" t="s">
        <v>2846</v>
      </c>
      <c r="M71" t="s">
        <v>3523</v>
      </c>
      <c r="N71" s="15"/>
      <c r="O71" s="14"/>
      <c r="P71">
        <v>190</v>
      </c>
    </row>
    <row r="72" spans="1:16" x14ac:dyDescent="0.3">
      <c r="A72">
        <v>71</v>
      </c>
      <c r="B72" s="14" t="s">
        <v>2292</v>
      </c>
      <c r="C72" s="14" t="s">
        <v>2107</v>
      </c>
      <c r="D72" s="14" t="s">
        <v>3490</v>
      </c>
      <c r="E72" s="14" t="s">
        <v>1118</v>
      </c>
      <c r="F72" s="14" t="s">
        <v>1175</v>
      </c>
      <c r="G72" s="14" t="s">
        <v>1581</v>
      </c>
      <c r="H72" s="14" t="s">
        <v>2061</v>
      </c>
      <c r="I72" t="s">
        <v>660</v>
      </c>
      <c r="J72" s="14" t="s">
        <v>35</v>
      </c>
      <c r="K72" s="15">
        <v>45292</v>
      </c>
      <c r="L72" s="14" t="s">
        <v>2846</v>
      </c>
      <c r="M72" t="s">
        <v>3500</v>
      </c>
      <c r="N72" s="15">
        <v>45296</v>
      </c>
      <c r="O72" s="14"/>
      <c r="P72">
        <v>159</v>
      </c>
    </row>
    <row r="73" spans="1:16" x14ac:dyDescent="0.3">
      <c r="A73">
        <v>72</v>
      </c>
      <c r="B73" s="14" t="s">
        <v>2293</v>
      </c>
      <c r="C73" s="14" t="s">
        <v>178</v>
      </c>
      <c r="D73" s="14" t="s">
        <v>3490</v>
      </c>
      <c r="E73" s="14" t="s">
        <v>1118</v>
      </c>
      <c r="F73" s="14" t="s">
        <v>65</v>
      </c>
      <c r="G73" s="14" t="s">
        <v>1582</v>
      </c>
      <c r="H73" s="14" t="s">
        <v>2056</v>
      </c>
      <c r="I73" t="s">
        <v>661</v>
      </c>
      <c r="J73" s="14" t="s">
        <v>35</v>
      </c>
      <c r="K73" s="15">
        <v>45292</v>
      </c>
      <c r="L73" s="14" t="s">
        <v>2847</v>
      </c>
      <c r="M73" t="s">
        <v>3500</v>
      </c>
      <c r="N73" s="15">
        <v>45296</v>
      </c>
      <c r="O73" s="14"/>
      <c r="P73">
        <v>159</v>
      </c>
    </row>
    <row r="74" spans="1:16" x14ac:dyDescent="0.3">
      <c r="A74">
        <v>73</v>
      </c>
      <c r="B74" s="14" t="s">
        <v>2294</v>
      </c>
      <c r="C74" s="14" t="s">
        <v>2108</v>
      </c>
      <c r="D74" s="14" t="s">
        <v>3490</v>
      </c>
      <c r="E74" s="14" t="s">
        <v>1113</v>
      </c>
      <c r="F74" s="14" t="s">
        <v>28</v>
      </c>
      <c r="G74" s="14" t="s">
        <v>1583</v>
      </c>
      <c r="H74" s="14"/>
      <c r="I74" t="s">
        <v>662</v>
      </c>
      <c r="J74" s="14" t="s">
        <v>27</v>
      </c>
      <c r="K74" s="15">
        <v>45261</v>
      </c>
      <c r="L74" s="14" t="s">
        <v>2847</v>
      </c>
      <c r="M74" t="s">
        <v>3523</v>
      </c>
      <c r="N74" s="15"/>
      <c r="O74" s="14"/>
      <c r="P74">
        <v>190</v>
      </c>
    </row>
    <row r="75" spans="1:16" x14ac:dyDescent="0.3">
      <c r="A75">
        <v>74</v>
      </c>
      <c r="B75" s="14" t="s">
        <v>2295</v>
      </c>
      <c r="C75" s="14" t="s">
        <v>179</v>
      </c>
      <c r="D75" s="14" t="s">
        <v>3489</v>
      </c>
      <c r="E75" s="14" t="s">
        <v>1114</v>
      </c>
      <c r="F75" s="14" t="s">
        <v>1176</v>
      </c>
      <c r="G75" s="14" t="s">
        <v>1584</v>
      </c>
      <c r="H75" s="14"/>
      <c r="I75" t="s">
        <v>663</v>
      </c>
      <c r="J75" s="14" t="s">
        <v>70</v>
      </c>
      <c r="K75" s="15">
        <v>45261</v>
      </c>
      <c r="L75" s="14" t="s">
        <v>2848</v>
      </c>
      <c r="M75" t="s">
        <v>3523</v>
      </c>
      <c r="N75" s="15"/>
      <c r="O75" s="14"/>
      <c r="P75">
        <v>190</v>
      </c>
    </row>
    <row r="76" spans="1:16" x14ac:dyDescent="0.3">
      <c r="A76">
        <v>75</v>
      </c>
      <c r="B76" s="14" t="s">
        <v>2296</v>
      </c>
      <c r="C76" s="14" t="s">
        <v>180</v>
      </c>
      <c r="D76" s="14" t="s">
        <v>3490</v>
      </c>
      <c r="E76" s="14" t="s">
        <v>1118</v>
      </c>
      <c r="F76" s="14" t="s">
        <v>1177</v>
      </c>
      <c r="G76" s="14" t="s">
        <v>1585</v>
      </c>
      <c r="H76" s="14"/>
      <c r="I76" t="s">
        <v>664</v>
      </c>
      <c r="J76" s="14" t="s">
        <v>64</v>
      </c>
      <c r="K76" s="15">
        <v>45261</v>
      </c>
      <c r="L76" s="14" t="s">
        <v>2847</v>
      </c>
      <c r="M76" t="s">
        <v>3523</v>
      </c>
      <c r="N76" s="15"/>
      <c r="O76" s="14"/>
      <c r="P76">
        <v>190</v>
      </c>
    </row>
    <row r="77" spans="1:16" x14ac:dyDescent="0.3">
      <c r="A77">
        <v>76</v>
      </c>
      <c r="B77" s="14" t="s">
        <v>2297</v>
      </c>
      <c r="C77" s="14" t="s">
        <v>181</v>
      </c>
      <c r="D77" s="14" t="s">
        <v>3490</v>
      </c>
      <c r="E77" s="14" t="s">
        <v>1113</v>
      </c>
      <c r="F77" s="14" t="s">
        <v>1178</v>
      </c>
      <c r="G77" s="14" t="s">
        <v>1586</v>
      </c>
      <c r="H77" s="14"/>
      <c r="I77" t="s">
        <v>665</v>
      </c>
      <c r="J77" s="14" t="s">
        <v>30</v>
      </c>
      <c r="K77" s="15">
        <v>45261</v>
      </c>
      <c r="L77" s="14" t="s">
        <v>2847</v>
      </c>
      <c r="M77" t="s">
        <v>3523</v>
      </c>
      <c r="N77" s="15"/>
      <c r="O77" s="14"/>
      <c r="P77">
        <v>190</v>
      </c>
    </row>
    <row r="78" spans="1:16" x14ac:dyDescent="0.3">
      <c r="A78">
        <v>77</v>
      </c>
      <c r="B78" s="14" t="s">
        <v>2298</v>
      </c>
      <c r="C78" s="14" t="s">
        <v>2109</v>
      </c>
      <c r="D78" s="14" t="s">
        <v>3490</v>
      </c>
      <c r="E78" s="14" t="s">
        <v>1118</v>
      </c>
      <c r="F78" s="14" t="s">
        <v>1179</v>
      </c>
      <c r="G78" s="14" t="s">
        <v>1587</v>
      </c>
      <c r="H78" s="14"/>
      <c r="I78" t="s">
        <v>666</v>
      </c>
      <c r="J78" s="14" t="s">
        <v>64</v>
      </c>
      <c r="K78" s="15">
        <v>45261</v>
      </c>
      <c r="L78" s="14" t="s">
        <v>2847</v>
      </c>
      <c r="M78" t="s">
        <v>3523</v>
      </c>
      <c r="N78" s="15"/>
      <c r="O78" s="14"/>
      <c r="P78">
        <v>190</v>
      </c>
    </row>
    <row r="79" spans="1:16" x14ac:dyDescent="0.3">
      <c r="A79">
        <v>78</v>
      </c>
      <c r="B79" s="14" t="s">
        <v>2299</v>
      </c>
      <c r="C79" s="14" t="s">
        <v>182</v>
      </c>
      <c r="D79" s="14" t="s">
        <v>3490</v>
      </c>
      <c r="E79" s="14" t="s">
        <v>1118</v>
      </c>
      <c r="F79" s="14" t="s">
        <v>1180</v>
      </c>
      <c r="G79" s="14" t="s">
        <v>1588</v>
      </c>
      <c r="H79" s="14" t="s">
        <v>2052</v>
      </c>
      <c r="I79" t="s">
        <v>667</v>
      </c>
      <c r="J79" s="14" t="s">
        <v>30</v>
      </c>
      <c r="K79" s="15">
        <v>45261</v>
      </c>
      <c r="L79" s="14" t="s">
        <v>2847</v>
      </c>
      <c r="M79" t="s">
        <v>3523</v>
      </c>
      <c r="N79" s="15"/>
      <c r="O79" s="14"/>
      <c r="P79">
        <v>190</v>
      </c>
    </row>
    <row r="80" spans="1:16" x14ac:dyDescent="0.3">
      <c r="A80">
        <v>79</v>
      </c>
      <c r="B80" s="14" t="s">
        <v>2300</v>
      </c>
      <c r="C80" s="14" t="s">
        <v>183</v>
      </c>
      <c r="D80" s="14" t="s">
        <v>3490</v>
      </c>
      <c r="E80" s="14" t="s">
        <v>1113</v>
      </c>
      <c r="F80" s="14" t="s">
        <v>1181</v>
      </c>
      <c r="G80" s="14" t="s">
        <v>1589</v>
      </c>
      <c r="H80" s="14"/>
      <c r="I80" t="s">
        <v>668</v>
      </c>
      <c r="J80" s="14" t="s">
        <v>72</v>
      </c>
      <c r="K80" s="15">
        <v>45261</v>
      </c>
      <c r="L80" s="14" t="s">
        <v>2847</v>
      </c>
      <c r="M80" t="s">
        <v>3523</v>
      </c>
      <c r="N80" s="15"/>
      <c r="O80" s="14"/>
      <c r="P80">
        <v>190</v>
      </c>
    </row>
    <row r="81" spans="1:16" x14ac:dyDescent="0.3">
      <c r="A81">
        <v>80</v>
      </c>
      <c r="B81" s="14" t="s">
        <v>2301</v>
      </c>
      <c r="C81" s="14" t="s">
        <v>184</v>
      </c>
      <c r="D81" s="14" t="s">
        <v>3489</v>
      </c>
      <c r="E81" s="14" t="s">
        <v>1118</v>
      </c>
      <c r="F81" s="14" t="s">
        <v>1182</v>
      </c>
      <c r="G81" s="14" t="s">
        <v>1590</v>
      </c>
      <c r="H81" s="14"/>
      <c r="I81" t="s">
        <v>669</v>
      </c>
      <c r="J81" s="14" t="s">
        <v>30</v>
      </c>
      <c r="K81" s="15">
        <v>45261</v>
      </c>
      <c r="L81" s="14" t="s">
        <v>2847</v>
      </c>
      <c r="M81" t="s">
        <v>3523</v>
      </c>
      <c r="N81" s="15"/>
      <c r="O81" s="14"/>
      <c r="P81">
        <v>190</v>
      </c>
    </row>
    <row r="82" spans="1:16" x14ac:dyDescent="0.3">
      <c r="A82">
        <v>81</v>
      </c>
      <c r="B82" s="14" t="s">
        <v>2302</v>
      </c>
      <c r="C82" s="14" t="s">
        <v>185</v>
      </c>
      <c r="D82" s="14" t="s">
        <v>3490</v>
      </c>
      <c r="E82" s="14" t="s">
        <v>1118</v>
      </c>
      <c r="F82" s="14" t="s">
        <v>1183</v>
      </c>
      <c r="G82" s="14" t="s">
        <v>1591</v>
      </c>
      <c r="H82" s="14"/>
      <c r="I82" t="s">
        <v>670</v>
      </c>
      <c r="J82" s="14" t="s">
        <v>72</v>
      </c>
      <c r="K82" s="15">
        <v>45261</v>
      </c>
      <c r="L82" s="14" t="s">
        <v>2847</v>
      </c>
      <c r="M82" t="s">
        <v>3523</v>
      </c>
      <c r="N82" s="15"/>
      <c r="O82" s="14"/>
      <c r="P82">
        <v>190</v>
      </c>
    </row>
    <row r="83" spans="1:16" x14ac:dyDescent="0.3">
      <c r="A83">
        <v>82</v>
      </c>
      <c r="B83" s="14" t="s">
        <v>2303</v>
      </c>
      <c r="C83" s="14" t="s">
        <v>186</v>
      </c>
      <c r="D83" s="14" t="s">
        <v>3490</v>
      </c>
      <c r="E83" s="14" t="s">
        <v>1113</v>
      </c>
      <c r="F83" s="14" t="s">
        <v>1184</v>
      </c>
      <c r="G83" s="14" t="s">
        <v>1592</v>
      </c>
      <c r="H83" s="14"/>
      <c r="I83" t="s">
        <v>671</v>
      </c>
      <c r="J83" s="14" t="s">
        <v>72</v>
      </c>
      <c r="K83" s="15">
        <v>45261</v>
      </c>
      <c r="L83" s="14" t="s">
        <v>2847</v>
      </c>
      <c r="M83" t="s">
        <v>3523</v>
      </c>
      <c r="N83" s="15"/>
      <c r="O83" s="14"/>
      <c r="P83">
        <v>190</v>
      </c>
    </row>
    <row r="84" spans="1:16" x14ac:dyDescent="0.3">
      <c r="A84">
        <v>83</v>
      </c>
      <c r="B84" s="14" t="s">
        <v>2304</v>
      </c>
      <c r="C84" s="14" t="s">
        <v>187</v>
      </c>
      <c r="D84" s="14" t="s">
        <v>3490</v>
      </c>
      <c r="E84" s="14" t="s">
        <v>1113</v>
      </c>
      <c r="F84" s="14" t="s">
        <v>1181</v>
      </c>
      <c r="G84" s="14" t="s">
        <v>1590</v>
      </c>
      <c r="H84" s="14"/>
      <c r="I84" t="s">
        <v>672</v>
      </c>
      <c r="J84" s="14" t="s">
        <v>72</v>
      </c>
      <c r="K84" s="15">
        <v>45261</v>
      </c>
      <c r="L84" s="14" t="s">
        <v>2847</v>
      </c>
      <c r="M84" t="s">
        <v>3523</v>
      </c>
      <c r="N84" s="15"/>
      <c r="O84" s="14"/>
      <c r="P84">
        <v>190</v>
      </c>
    </row>
    <row r="85" spans="1:16" x14ac:dyDescent="0.3">
      <c r="A85">
        <v>84</v>
      </c>
      <c r="B85" s="14" t="s">
        <v>2305</v>
      </c>
      <c r="C85" s="14" t="s">
        <v>188</v>
      </c>
      <c r="D85" s="14" t="s">
        <v>3490</v>
      </c>
      <c r="E85" s="14" t="s">
        <v>1118</v>
      </c>
      <c r="F85" s="14" t="s">
        <v>1185</v>
      </c>
      <c r="G85" s="14" t="s">
        <v>1593</v>
      </c>
      <c r="H85" s="14"/>
      <c r="I85" t="s">
        <v>673</v>
      </c>
      <c r="J85" s="14" t="s">
        <v>30</v>
      </c>
      <c r="K85" s="15">
        <v>45261</v>
      </c>
      <c r="L85" s="14" t="s">
        <v>2847</v>
      </c>
      <c r="M85" t="s">
        <v>3523</v>
      </c>
      <c r="N85" s="15"/>
      <c r="O85" s="14"/>
      <c r="P85">
        <v>190</v>
      </c>
    </row>
    <row r="86" spans="1:16" x14ac:dyDescent="0.3">
      <c r="A86">
        <v>85</v>
      </c>
      <c r="B86" s="14" t="s">
        <v>2306</v>
      </c>
      <c r="C86" s="14" t="s">
        <v>189</v>
      </c>
      <c r="D86" s="14" t="s">
        <v>3489</v>
      </c>
      <c r="E86" s="14" t="s">
        <v>1118</v>
      </c>
      <c r="F86" s="14" t="s">
        <v>1166</v>
      </c>
      <c r="G86" s="14" t="s">
        <v>1594</v>
      </c>
      <c r="H86" s="14" t="s">
        <v>2052</v>
      </c>
      <c r="I86" t="s">
        <v>674</v>
      </c>
      <c r="J86" s="14" t="s">
        <v>30</v>
      </c>
      <c r="K86" s="15">
        <v>45261</v>
      </c>
      <c r="L86" s="14" t="s">
        <v>2847</v>
      </c>
      <c r="M86" t="s">
        <v>3523</v>
      </c>
      <c r="N86" s="15"/>
      <c r="O86" s="14"/>
      <c r="P86">
        <v>190</v>
      </c>
    </row>
    <row r="87" spans="1:16" x14ac:dyDescent="0.3">
      <c r="A87">
        <v>86</v>
      </c>
      <c r="B87" s="14" t="s">
        <v>2307</v>
      </c>
      <c r="C87" s="14" t="s">
        <v>190</v>
      </c>
      <c r="D87" s="14" t="s">
        <v>3490</v>
      </c>
      <c r="E87" s="14" t="s">
        <v>1118</v>
      </c>
      <c r="F87" s="14" t="s">
        <v>1186</v>
      </c>
      <c r="G87" s="14" t="s">
        <v>1595</v>
      </c>
      <c r="H87" s="14"/>
      <c r="I87" t="s">
        <v>675</v>
      </c>
      <c r="J87" s="14" t="s">
        <v>30</v>
      </c>
      <c r="K87" s="15">
        <v>45261</v>
      </c>
      <c r="L87" s="14" t="s">
        <v>2847</v>
      </c>
      <c r="M87" t="s">
        <v>3523</v>
      </c>
      <c r="N87" s="15"/>
      <c r="O87" s="14"/>
      <c r="P87">
        <v>190</v>
      </c>
    </row>
    <row r="88" spans="1:16" x14ac:dyDescent="0.3">
      <c r="A88">
        <v>87</v>
      </c>
      <c r="B88" s="14" t="s">
        <v>2308</v>
      </c>
      <c r="C88" s="14" t="s">
        <v>191</v>
      </c>
      <c r="D88" s="14" t="s">
        <v>3490</v>
      </c>
      <c r="E88" s="14" t="s">
        <v>1118</v>
      </c>
      <c r="F88" s="14" t="s">
        <v>1186</v>
      </c>
      <c r="G88" s="14"/>
      <c r="H88" s="14"/>
      <c r="J88" s="14" t="s">
        <v>30</v>
      </c>
      <c r="K88" s="15">
        <v>45261</v>
      </c>
      <c r="L88" s="14" t="s">
        <v>2847</v>
      </c>
      <c r="M88" t="s">
        <v>3523</v>
      </c>
      <c r="N88" s="15"/>
      <c r="O88" s="14"/>
      <c r="P88">
        <v>190</v>
      </c>
    </row>
    <row r="89" spans="1:16" x14ac:dyDescent="0.3">
      <c r="A89">
        <v>88</v>
      </c>
      <c r="B89" s="14" t="s">
        <v>2309</v>
      </c>
      <c r="C89" s="14" t="s">
        <v>192</v>
      </c>
      <c r="D89" s="14" t="s">
        <v>3490</v>
      </c>
      <c r="E89" s="14" t="s">
        <v>1118</v>
      </c>
      <c r="F89" s="14" t="s">
        <v>1187</v>
      </c>
      <c r="G89" s="14" t="s">
        <v>1596</v>
      </c>
      <c r="H89" s="14" t="s">
        <v>2052</v>
      </c>
      <c r="I89" t="s">
        <v>676</v>
      </c>
      <c r="J89" s="14" t="s">
        <v>30</v>
      </c>
      <c r="K89" s="15">
        <v>45261</v>
      </c>
      <c r="L89" s="14" t="s">
        <v>2847</v>
      </c>
      <c r="M89" t="s">
        <v>3523</v>
      </c>
      <c r="N89" s="15"/>
      <c r="O89" s="14"/>
      <c r="P89">
        <v>190</v>
      </c>
    </row>
    <row r="90" spans="1:16" x14ac:dyDescent="0.3">
      <c r="A90">
        <v>89</v>
      </c>
      <c r="B90" s="14" t="s">
        <v>2310</v>
      </c>
      <c r="C90" s="14" t="s">
        <v>2110</v>
      </c>
      <c r="D90" s="14" t="s">
        <v>3490</v>
      </c>
      <c r="E90" s="14" t="s">
        <v>1118</v>
      </c>
      <c r="F90" s="14" t="s">
        <v>1188</v>
      </c>
      <c r="G90" s="14" t="s">
        <v>1597</v>
      </c>
      <c r="H90" s="14"/>
      <c r="I90" t="s">
        <v>677</v>
      </c>
      <c r="J90" s="14" t="s">
        <v>35</v>
      </c>
      <c r="K90" s="15">
        <v>45261</v>
      </c>
      <c r="L90" s="14" t="s">
        <v>2846</v>
      </c>
      <c r="M90" t="s">
        <v>3523</v>
      </c>
      <c r="N90" s="15"/>
      <c r="O90" s="14"/>
      <c r="P90">
        <v>190</v>
      </c>
    </row>
    <row r="91" spans="1:16" x14ac:dyDescent="0.3">
      <c r="A91">
        <v>90</v>
      </c>
      <c r="B91" s="14" t="s">
        <v>2311</v>
      </c>
      <c r="C91" s="14" t="s">
        <v>193</v>
      </c>
      <c r="D91" s="14" t="s">
        <v>3489</v>
      </c>
      <c r="E91" s="14" t="s">
        <v>1118</v>
      </c>
      <c r="F91" s="14" t="s">
        <v>1189</v>
      </c>
      <c r="G91" s="14" t="s">
        <v>1598</v>
      </c>
      <c r="H91" s="14" t="s">
        <v>2052</v>
      </c>
      <c r="I91" t="s">
        <v>678</v>
      </c>
      <c r="J91" s="14" t="s">
        <v>70</v>
      </c>
      <c r="K91" s="15">
        <v>45261</v>
      </c>
      <c r="L91" s="14" t="s">
        <v>2848</v>
      </c>
      <c r="M91" t="s">
        <v>3523</v>
      </c>
      <c r="N91" s="15"/>
      <c r="O91" s="14"/>
      <c r="P91">
        <v>190</v>
      </c>
    </row>
    <row r="92" spans="1:16" x14ac:dyDescent="0.3">
      <c r="A92">
        <v>91</v>
      </c>
      <c r="B92" s="14" t="s">
        <v>2312</v>
      </c>
      <c r="C92" s="14" t="s">
        <v>194</v>
      </c>
      <c r="D92" s="14" t="s">
        <v>3490</v>
      </c>
      <c r="E92" s="14" t="s">
        <v>1118</v>
      </c>
      <c r="F92" s="14" t="s">
        <v>1190</v>
      </c>
      <c r="G92" s="14" t="s">
        <v>1599</v>
      </c>
      <c r="H92" s="14" t="s">
        <v>2057</v>
      </c>
      <c r="I92" t="s">
        <v>679</v>
      </c>
      <c r="J92" s="14" t="s">
        <v>35</v>
      </c>
      <c r="K92" s="15">
        <v>45292</v>
      </c>
      <c r="L92" s="14" t="s">
        <v>2846</v>
      </c>
      <c r="M92" t="s">
        <v>3501</v>
      </c>
      <c r="N92" s="15">
        <v>45407</v>
      </c>
      <c r="O92" s="14"/>
      <c r="P92">
        <v>159</v>
      </c>
    </row>
    <row r="93" spans="1:16" x14ac:dyDescent="0.3">
      <c r="A93">
        <v>92</v>
      </c>
      <c r="B93" s="14" t="s">
        <v>2313</v>
      </c>
      <c r="C93" s="14" t="s">
        <v>2111</v>
      </c>
      <c r="D93" s="14" t="s">
        <v>3490</v>
      </c>
      <c r="E93" s="14" t="s">
        <v>1118</v>
      </c>
      <c r="F93" s="14" t="s">
        <v>1191</v>
      </c>
      <c r="G93" s="14" t="s">
        <v>1600</v>
      </c>
      <c r="H93" s="14"/>
      <c r="I93" t="s">
        <v>680</v>
      </c>
      <c r="J93" s="14" t="s">
        <v>1213</v>
      </c>
      <c r="K93" s="15">
        <v>45261</v>
      </c>
      <c r="L93" s="14" t="s">
        <v>2847</v>
      </c>
      <c r="M93" t="s">
        <v>3523</v>
      </c>
      <c r="N93" s="15"/>
      <c r="O93" s="14"/>
      <c r="P93">
        <v>190</v>
      </c>
    </row>
    <row r="94" spans="1:16" x14ac:dyDescent="0.3">
      <c r="A94">
        <v>93</v>
      </c>
      <c r="B94" s="14" t="s">
        <v>2314</v>
      </c>
      <c r="C94" s="14" t="s">
        <v>195</v>
      </c>
      <c r="D94" s="14" t="s">
        <v>3490</v>
      </c>
      <c r="E94" s="14" t="s">
        <v>1118</v>
      </c>
      <c r="F94" s="14" t="s">
        <v>1192</v>
      </c>
      <c r="G94" s="14" t="s">
        <v>1601</v>
      </c>
      <c r="H94" s="14" t="s">
        <v>2052</v>
      </c>
      <c r="I94" t="s">
        <v>681</v>
      </c>
      <c r="J94" s="14" t="s">
        <v>30</v>
      </c>
      <c r="K94" s="15">
        <v>45261</v>
      </c>
      <c r="L94" s="14" t="s">
        <v>2847</v>
      </c>
      <c r="M94" t="s">
        <v>3523</v>
      </c>
      <c r="N94" s="15"/>
      <c r="O94" s="14"/>
      <c r="P94">
        <v>190</v>
      </c>
    </row>
    <row r="95" spans="1:16" x14ac:dyDescent="0.3">
      <c r="A95">
        <v>94</v>
      </c>
      <c r="B95" s="14" t="s">
        <v>2315</v>
      </c>
      <c r="C95" s="14" t="s">
        <v>196</v>
      </c>
      <c r="D95" s="14" t="s">
        <v>3490</v>
      </c>
      <c r="E95" s="14" t="s">
        <v>1118</v>
      </c>
      <c r="F95" s="14" t="s">
        <v>1193</v>
      </c>
      <c r="G95" s="14" t="s">
        <v>1602</v>
      </c>
      <c r="H95" s="14"/>
      <c r="I95" t="s">
        <v>682</v>
      </c>
      <c r="J95" s="14" t="s">
        <v>30</v>
      </c>
      <c r="K95" s="15">
        <v>45261</v>
      </c>
      <c r="L95" s="14" t="s">
        <v>2848</v>
      </c>
      <c r="M95" t="s">
        <v>3523</v>
      </c>
      <c r="N95" s="15"/>
      <c r="O95" s="14"/>
      <c r="P95">
        <v>190</v>
      </c>
    </row>
    <row r="96" spans="1:16" x14ac:dyDescent="0.3">
      <c r="A96">
        <v>95</v>
      </c>
      <c r="B96" s="14" t="s">
        <v>2316</v>
      </c>
      <c r="C96" s="14" t="s">
        <v>197</v>
      </c>
      <c r="D96" s="14" t="s">
        <v>3489</v>
      </c>
      <c r="E96" s="14" t="s">
        <v>1118</v>
      </c>
      <c r="F96" s="14" t="s">
        <v>1194</v>
      </c>
      <c r="G96" s="14" t="s">
        <v>1603</v>
      </c>
      <c r="H96" s="14" t="s">
        <v>2052</v>
      </c>
      <c r="I96" t="s">
        <v>683</v>
      </c>
      <c r="J96" s="14" t="s">
        <v>3525</v>
      </c>
      <c r="K96" s="15">
        <v>45261</v>
      </c>
      <c r="L96" s="14" t="s">
        <v>2848</v>
      </c>
      <c r="M96" t="s">
        <v>3523</v>
      </c>
      <c r="N96" s="15"/>
      <c r="O96" s="14"/>
      <c r="P96">
        <v>190</v>
      </c>
    </row>
    <row r="97" spans="1:16" x14ac:dyDescent="0.3">
      <c r="A97">
        <v>96</v>
      </c>
      <c r="B97" s="14" t="s">
        <v>2317</v>
      </c>
      <c r="C97" s="14" t="s">
        <v>198</v>
      </c>
      <c r="D97" s="14" t="s">
        <v>3490</v>
      </c>
      <c r="E97" s="14" t="s">
        <v>1118</v>
      </c>
      <c r="F97" s="14" t="s">
        <v>1195</v>
      </c>
      <c r="G97" s="14" t="s">
        <v>1604</v>
      </c>
      <c r="H97" s="14"/>
      <c r="I97" t="s">
        <v>684</v>
      </c>
      <c r="J97" s="14" t="s">
        <v>30</v>
      </c>
      <c r="K97" s="15">
        <v>45261</v>
      </c>
      <c r="L97" s="14" t="s">
        <v>2847</v>
      </c>
      <c r="M97" t="s">
        <v>3523</v>
      </c>
      <c r="N97" s="15"/>
      <c r="O97" s="14"/>
      <c r="P97">
        <v>190</v>
      </c>
    </row>
    <row r="98" spans="1:16" x14ac:dyDescent="0.3">
      <c r="A98">
        <v>97</v>
      </c>
      <c r="B98" s="14" t="s">
        <v>2318</v>
      </c>
      <c r="C98" s="14" t="s">
        <v>2112</v>
      </c>
      <c r="D98" s="14" t="s">
        <v>3490</v>
      </c>
      <c r="E98" s="14" t="s">
        <v>1118</v>
      </c>
      <c r="F98" s="14" t="s">
        <v>1196</v>
      </c>
      <c r="G98" s="14" t="s">
        <v>1605</v>
      </c>
      <c r="H98" s="14"/>
      <c r="I98" t="s">
        <v>685</v>
      </c>
      <c r="J98" s="14" t="s">
        <v>30</v>
      </c>
      <c r="K98" s="15">
        <v>45261</v>
      </c>
      <c r="L98" s="14" t="s">
        <v>2847</v>
      </c>
      <c r="M98" t="s">
        <v>3523</v>
      </c>
      <c r="N98" s="15"/>
      <c r="O98" s="14"/>
      <c r="P98">
        <v>190</v>
      </c>
    </row>
    <row r="99" spans="1:16" x14ac:dyDescent="0.3">
      <c r="A99">
        <v>98</v>
      </c>
      <c r="B99" s="14" t="s">
        <v>2319</v>
      </c>
      <c r="C99" s="14" t="s">
        <v>199</v>
      </c>
      <c r="D99" s="14" t="s">
        <v>3490</v>
      </c>
      <c r="E99" s="14" t="s">
        <v>1118</v>
      </c>
      <c r="F99" s="14" t="s">
        <v>1159</v>
      </c>
      <c r="G99" s="14" t="s">
        <v>1606</v>
      </c>
      <c r="H99" s="14"/>
      <c r="I99" t="s">
        <v>686</v>
      </c>
      <c r="J99" s="14" t="s">
        <v>3525</v>
      </c>
      <c r="K99" s="15">
        <v>45261</v>
      </c>
      <c r="L99" s="14" t="s">
        <v>2847</v>
      </c>
      <c r="M99" t="s">
        <v>3523</v>
      </c>
      <c r="N99" s="15"/>
      <c r="O99" s="14"/>
      <c r="P99">
        <v>190</v>
      </c>
    </row>
    <row r="100" spans="1:16" x14ac:dyDescent="0.3">
      <c r="A100">
        <v>99</v>
      </c>
      <c r="B100" s="14" t="s">
        <v>2320</v>
      </c>
      <c r="C100" s="14" t="s">
        <v>200</v>
      </c>
      <c r="D100" s="14" t="s">
        <v>3490</v>
      </c>
      <c r="E100" s="14" t="s">
        <v>1118</v>
      </c>
      <c r="F100" s="14" t="s">
        <v>1197</v>
      </c>
      <c r="G100" s="14" t="s">
        <v>1607</v>
      </c>
      <c r="H100" s="14"/>
      <c r="I100" t="s">
        <v>687</v>
      </c>
      <c r="J100" s="14" t="s">
        <v>30</v>
      </c>
      <c r="K100" s="15">
        <v>45292</v>
      </c>
      <c r="L100" s="14" t="s">
        <v>2848</v>
      </c>
      <c r="M100" t="s">
        <v>3524</v>
      </c>
      <c r="N100" s="15"/>
      <c r="O100" s="14" t="s">
        <v>3521</v>
      </c>
    </row>
    <row r="101" spans="1:16" x14ac:dyDescent="0.3">
      <c r="A101">
        <v>100</v>
      </c>
      <c r="B101" s="14" t="s">
        <v>2321</v>
      </c>
      <c r="C101" s="14" t="s">
        <v>2113</v>
      </c>
      <c r="D101" s="14" t="s">
        <v>3490</v>
      </c>
      <c r="E101" s="14" t="s">
        <v>1118</v>
      </c>
      <c r="F101" s="14" t="s">
        <v>1198</v>
      </c>
      <c r="G101" s="14" t="s">
        <v>1608</v>
      </c>
      <c r="H101" s="14"/>
      <c r="I101" t="s">
        <v>688</v>
      </c>
      <c r="J101" s="14" t="s">
        <v>3525</v>
      </c>
      <c r="K101" s="15">
        <v>45261</v>
      </c>
      <c r="L101" s="14" t="s">
        <v>2848</v>
      </c>
      <c r="M101" t="s">
        <v>3523</v>
      </c>
      <c r="N101" s="15"/>
      <c r="O101" s="14"/>
      <c r="P101">
        <v>190</v>
      </c>
    </row>
    <row r="102" spans="1:16" x14ac:dyDescent="0.3">
      <c r="A102">
        <v>101</v>
      </c>
      <c r="B102" s="14" t="s">
        <v>2322</v>
      </c>
      <c r="C102" s="14" t="s">
        <v>2114</v>
      </c>
      <c r="D102" s="14" t="s">
        <v>3490</v>
      </c>
      <c r="E102" s="14" t="s">
        <v>1118</v>
      </c>
      <c r="F102" s="14" t="s">
        <v>1199</v>
      </c>
      <c r="G102" s="14" t="s">
        <v>1609</v>
      </c>
      <c r="H102" s="14"/>
      <c r="I102" t="s">
        <v>689</v>
      </c>
      <c r="J102" s="14" t="s">
        <v>30</v>
      </c>
      <c r="K102" s="15">
        <v>45261</v>
      </c>
      <c r="L102" s="14" t="s">
        <v>2847</v>
      </c>
      <c r="M102" t="s">
        <v>3523</v>
      </c>
      <c r="N102" s="15"/>
      <c r="O102" s="14"/>
      <c r="P102">
        <v>190</v>
      </c>
    </row>
    <row r="103" spans="1:16" x14ac:dyDescent="0.3">
      <c r="A103">
        <v>102</v>
      </c>
      <c r="B103" s="14" t="s">
        <v>2323</v>
      </c>
      <c r="C103" s="14" t="s">
        <v>201</v>
      </c>
      <c r="D103" s="14" t="s">
        <v>3489</v>
      </c>
      <c r="E103" s="14" t="s">
        <v>1118</v>
      </c>
      <c r="F103" s="14" t="s">
        <v>1200</v>
      </c>
      <c r="G103" s="14" t="s">
        <v>1610</v>
      </c>
      <c r="H103" s="14"/>
      <c r="I103" t="s">
        <v>690</v>
      </c>
      <c r="J103" s="14" t="s">
        <v>27</v>
      </c>
      <c r="K103" s="15">
        <v>45261</v>
      </c>
      <c r="L103" s="14" t="s">
        <v>2847</v>
      </c>
      <c r="M103" t="s">
        <v>3523</v>
      </c>
      <c r="N103" s="15"/>
      <c r="O103" s="14"/>
      <c r="P103">
        <v>190</v>
      </c>
    </row>
    <row r="104" spans="1:16" x14ac:dyDescent="0.3">
      <c r="A104">
        <v>103</v>
      </c>
      <c r="B104" s="14" t="s">
        <v>2324</v>
      </c>
      <c r="C104" s="14" t="s">
        <v>2115</v>
      </c>
      <c r="D104" s="14" t="s">
        <v>3490</v>
      </c>
      <c r="E104" s="14" t="s">
        <v>1118</v>
      </c>
      <c r="F104" s="14" t="s">
        <v>42</v>
      </c>
      <c r="G104" s="14" t="s">
        <v>1611</v>
      </c>
      <c r="H104" s="14"/>
      <c r="I104" t="s">
        <v>691</v>
      </c>
      <c r="J104" s="14" t="s">
        <v>30</v>
      </c>
      <c r="K104" s="15">
        <v>45261</v>
      </c>
      <c r="L104" s="14" t="s">
        <v>2847</v>
      </c>
      <c r="M104" t="s">
        <v>3523</v>
      </c>
      <c r="N104" s="15"/>
      <c r="O104" s="14"/>
      <c r="P104">
        <v>190</v>
      </c>
    </row>
    <row r="105" spans="1:16" x14ac:dyDescent="0.3">
      <c r="A105">
        <v>104</v>
      </c>
      <c r="B105" s="14" t="s">
        <v>2325</v>
      </c>
      <c r="C105" s="14" t="s">
        <v>2116</v>
      </c>
      <c r="D105" s="14" t="s">
        <v>3490</v>
      </c>
      <c r="E105" s="14" t="s">
        <v>1118</v>
      </c>
      <c r="F105" s="14" t="s">
        <v>1201</v>
      </c>
      <c r="G105" s="14" t="s">
        <v>1612</v>
      </c>
      <c r="H105" s="14"/>
      <c r="I105" t="s">
        <v>692</v>
      </c>
      <c r="J105" s="14" t="s">
        <v>30</v>
      </c>
      <c r="K105" s="15">
        <v>45261</v>
      </c>
      <c r="L105" s="14" t="s">
        <v>2847</v>
      </c>
      <c r="M105" t="s">
        <v>3523</v>
      </c>
      <c r="N105" s="15"/>
      <c r="O105" s="14"/>
      <c r="P105">
        <v>190</v>
      </c>
    </row>
    <row r="106" spans="1:16" x14ac:dyDescent="0.3">
      <c r="A106">
        <v>105</v>
      </c>
      <c r="B106" s="14" t="s">
        <v>2326</v>
      </c>
      <c r="C106" s="14" t="s">
        <v>2117</v>
      </c>
      <c r="D106" s="14" t="s">
        <v>3490</v>
      </c>
      <c r="E106" s="14" t="s">
        <v>1118</v>
      </c>
      <c r="F106" s="14" t="s">
        <v>1202</v>
      </c>
      <c r="G106" s="14" t="s">
        <v>1613</v>
      </c>
      <c r="H106" s="14" t="s">
        <v>2052</v>
      </c>
      <c r="I106" t="s">
        <v>693</v>
      </c>
      <c r="J106" s="14" t="s">
        <v>30</v>
      </c>
      <c r="K106" s="15">
        <v>45261</v>
      </c>
      <c r="L106" s="14" t="s">
        <v>2847</v>
      </c>
      <c r="M106" t="s">
        <v>3523</v>
      </c>
      <c r="N106" s="15"/>
      <c r="O106" s="14"/>
      <c r="P106">
        <v>190</v>
      </c>
    </row>
    <row r="107" spans="1:16" x14ac:dyDescent="0.3">
      <c r="A107">
        <v>106</v>
      </c>
      <c r="B107" s="14" t="s">
        <v>2327</v>
      </c>
      <c r="C107" s="14" t="s">
        <v>2118</v>
      </c>
      <c r="D107" s="14" t="s">
        <v>3489</v>
      </c>
      <c r="E107" s="14" t="s">
        <v>1118</v>
      </c>
      <c r="F107" s="14" t="s">
        <v>1203</v>
      </c>
      <c r="G107" s="14" t="s">
        <v>1614</v>
      </c>
      <c r="H107" s="14"/>
      <c r="I107" t="s">
        <v>694</v>
      </c>
      <c r="J107" s="14" t="s">
        <v>35</v>
      </c>
      <c r="K107" s="15">
        <v>45261</v>
      </c>
      <c r="L107" s="14" t="s">
        <v>2848</v>
      </c>
      <c r="M107" t="s">
        <v>3523</v>
      </c>
      <c r="N107" s="15"/>
      <c r="O107" s="14"/>
      <c r="P107">
        <v>190</v>
      </c>
    </row>
    <row r="108" spans="1:16" x14ac:dyDescent="0.3">
      <c r="A108">
        <v>107</v>
      </c>
      <c r="B108" s="14" t="s">
        <v>2328</v>
      </c>
      <c r="C108" s="14" t="s">
        <v>2119</v>
      </c>
      <c r="D108" s="14" t="s">
        <v>3490</v>
      </c>
      <c r="E108" s="14" t="s">
        <v>1118</v>
      </c>
      <c r="F108" s="14" t="s">
        <v>1204</v>
      </c>
      <c r="G108" s="14" t="s">
        <v>1615</v>
      </c>
      <c r="H108" s="14" t="s">
        <v>2052</v>
      </c>
      <c r="I108" t="s">
        <v>695</v>
      </c>
      <c r="J108" s="14" t="s">
        <v>3525</v>
      </c>
      <c r="K108" s="15">
        <v>45261</v>
      </c>
      <c r="L108" s="14" t="s">
        <v>2847</v>
      </c>
      <c r="M108" t="s">
        <v>3523</v>
      </c>
      <c r="N108" s="15"/>
      <c r="O108" s="14"/>
      <c r="P108">
        <v>190</v>
      </c>
    </row>
    <row r="109" spans="1:16" x14ac:dyDescent="0.3">
      <c r="A109">
        <v>108</v>
      </c>
      <c r="B109" s="14" t="s">
        <v>2329</v>
      </c>
      <c r="C109" s="14" t="s">
        <v>2120</v>
      </c>
      <c r="D109" s="14" t="s">
        <v>3490</v>
      </c>
      <c r="E109" s="14" t="s">
        <v>1118</v>
      </c>
      <c r="F109" s="14" t="s">
        <v>1205</v>
      </c>
      <c r="G109" s="14" t="s">
        <v>1616</v>
      </c>
      <c r="H109" s="14"/>
      <c r="I109" t="s">
        <v>696</v>
      </c>
      <c r="J109" s="14" t="s">
        <v>3525</v>
      </c>
      <c r="K109" s="15">
        <v>45261</v>
      </c>
      <c r="L109" s="14" t="s">
        <v>2847</v>
      </c>
      <c r="M109" t="s">
        <v>3523</v>
      </c>
      <c r="N109" s="15"/>
      <c r="O109" s="14"/>
      <c r="P109">
        <v>190</v>
      </c>
    </row>
    <row r="110" spans="1:16" x14ac:dyDescent="0.3">
      <c r="A110">
        <v>109</v>
      </c>
      <c r="B110" s="14" t="s">
        <v>2330</v>
      </c>
      <c r="C110" s="14" t="s">
        <v>202</v>
      </c>
      <c r="D110" s="14" t="s">
        <v>3490</v>
      </c>
      <c r="E110" s="14" t="s">
        <v>1115</v>
      </c>
      <c r="F110" s="14" t="s">
        <v>1115</v>
      </c>
      <c r="G110" s="14" t="s">
        <v>704</v>
      </c>
      <c r="H110" s="14"/>
      <c r="I110" t="s">
        <v>697</v>
      </c>
      <c r="J110" s="14" t="s">
        <v>3525</v>
      </c>
      <c r="K110" s="15">
        <v>45261</v>
      </c>
      <c r="L110" s="14" t="s">
        <v>2848</v>
      </c>
      <c r="M110" t="s">
        <v>3523</v>
      </c>
      <c r="N110" s="15"/>
      <c r="O110" s="14"/>
      <c r="P110">
        <v>190</v>
      </c>
    </row>
    <row r="111" spans="1:16" x14ac:dyDescent="0.3">
      <c r="A111">
        <v>110</v>
      </c>
      <c r="B111" s="14" t="s">
        <v>2331</v>
      </c>
      <c r="C111" s="14" t="s">
        <v>2121</v>
      </c>
      <c r="D111" s="14" t="s">
        <v>3490</v>
      </c>
      <c r="E111" s="14" t="s">
        <v>1118</v>
      </c>
      <c r="F111" s="14" t="s">
        <v>1206</v>
      </c>
      <c r="G111" s="14" t="s">
        <v>1617</v>
      </c>
      <c r="H111" s="14"/>
      <c r="I111" t="s">
        <v>698</v>
      </c>
      <c r="J111" s="14" t="s">
        <v>3525</v>
      </c>
      <c r="K111" s="15">
        <v>45261</v>
      </c>
      <c r="L111" s="14" t="s">
        <v>2847</v>
      </c>
      <c r="M111" t="s">
        <v>3523</v>
      </c>
      <c r="N111" s="15"/>
      <c r="O111" s="14"/>
      <c r="P111">
        <v>190</v>
      </c>
    </row>
    <row r="112" spans="1:16" x14ac:dyDescent="0.3">
      <c r="A112">
        <v>111</v>
      </c>
      <c r="B112" s="14" t="s">
        <v>2332</v>
      </c>
      <c r="C112" s="14" t="s">
        <v>2122</v>
      </c>
      <c r="D112" s="14" t="s">
        <v>3490</v>
      </c>
      <c r="E112" s="14" t="s">
        <v>1118</v>
      </c>
      <c r="F112" s="14" t="s">
        <v>1207</v>
      </c>
      <c r="G112" s="14" t="s">
        <v>1618</v>
      </c>
      <c r="H112" s="14" t="s">
        <v>2052</v>
      </c>
      <c r="I112" t="s">
        <v>699</v>
      </c>
      <c r="J112" s="14" t="s">
        <v>35</v>
      </c>
      <c r="K112" s="15">
        <v>45261</v>
      </c>
      <c r="L112" s="14" t="s">
        <v>2848</v>
      </c>
      <c r="M112" t="s">
        <v>3523</v>
      </c>
      <c r="N112" s="15"/>
      <c r="O112" s="14"/>
      <c r="P112">
        <v>190</v>
      </c>
    </row>
    <row r="113" spans="1:16" x14ac:dyDescent="0.3">
      <c r="A113">
        <v>112</v>
      </c>
      <c r="B113" s="14" t="s">
        <v>2333</v>
      </c>
      <c r="C113" s="14" t="s">
        <v>203</v>
      </c>
      <c r="D113" s="14" t="s">
        <v>3490</v>
      </c>
      <c r="E113" s="14" t="s">
        <v>1118</v>
      </c>
      <c r="F113" s="14" t="s">
        <v>1149</v>
      </c>
      <c r="G113" s="14" t="s">
        <v>1619</v>
      </c>
      <c r="H113" s="14" t="s">
        <v>2062</v>
      </c>
      <c r="I113" t="s">
        <v>700</v>
      </c>
      <c r="J113" s="14" t="s">
        <v>30</v>
      </c>
      <c r="K113" s="15">
        <v>45292</v>
      </c>
      <c r="L113" s="14" t="s">
        <v>2848</v>
      </c>
      <c r="M113" t="s">
        <v>3500</v>
      </c>
      <c r="N113" s="15">
        <v>45292</v>
      </c>
      <c r="O113" s="14" t="s">
        <v>3521</v>
      </c>
      <c r="P113">
        <v>0</v>
      </c>
    </row>
    <row r="114" spans="1:16" x14ac:dyDescent="0.3">
      <c r="A114">
        <v>113</v>
      </c>
      <c r="B114" s="14" t="s">
        <v>2334</v>
      </c>
      <c r="C114" s="14" t="s">
        <v>204</v>
      </c>
      <c r="D114" s="14" t="s">
        <v>3490</v>
      </c>
      <c r="E114" s="14" t="s">
        <v>1118</v>
      </c>
      <c r="F114" s="14" t="s">
        <v>64</v>
      </c>
      <c r="G114" s="14" t="s">
        <v>1620</v>
      </c>
      <c r="H114" s="14" t="s">
        <v>2075</v>
      </c>
      <c r="I114" t="s">
        <v>701</v>
      </c>
      <c r="J114" s="14" t="s">
        <v>30</v>
      </c>
      <c r="K114" s="15">
        <v>45292</v>
      </c>
      <c r="L114" s="14" t="s">
        <v>2847</v>
      </c>
      <c r="M114" t="s">
        <v>3500</v>
      </c>
      <c r="N114" s="15">
        <v>45308</v>
      </c>
      <c r="O114" s="14"/>
      <c r="P114">
        <v>159</v>
      </c>
    </row>
    <row r="115" spans="1:16" x14ac:dyDescent="0.3">
      <c r="A115">
        <v>114</v>
      </c>
      <c r="B115" s="14" t="s">
        <v>2335</v>
      </c>
      <c r="C115" s="14" t="s">
        <v>205</v>
      </c>
      <c r="D115" s="14" t="s">
        <v>3490</v>
      </c>
      <c r="E115" s="14" t="s">
        <v>1113</v>
      </c>
      <c r="F115" s="14" t="s">
        <v>1186</v>
      </c>
      <c r="G115" s="14" t="s">
        <v>1621</v>
      </c>
      <c r="H115" s="14" t="s">
        <v>2063</v>
      </c>
      <c r="I115" t="s">
        <v>702</v>
      </c>
      <c r="J115" s="14" t="s">
        <v>30</v>
      </c>
      <c r="K115" s="15">
        <v>45292</v>
      </c>
      <c r="L115" s="14" t="s">
        <v>2847</v>
      </c>
      <c r="M115" t="s">
        <v>3500</v>
      </c>
      <c r="N115" s="15">
        <v>45308</v>
      </c>
      <c r="O115" s="14"/>
      <c r="P115">
        <v>159</v>
      </c>
    </row>
    <row r="116" spans="1:16" x14ac:dyDescent="0.3">
      <c r="A116">
        <v>115</v>
      </c>
      <c r="B116" s="14" t="s">
        <v>2336</v>
      </c>
      <c r="C116" s="14" t="s">
        <v>2113</v>
      </c>
      <c r="D116" s="14" t="s">
        <v>3489</v>
      </c>
      <c r="E116" s="14" t="s">
        <v>1118</v>
      </c>
      <c r="F116" s="14" t="s">
        <v>1208</v>
      </c>
      <c r="G116" s="14" t="s">
        <v>1622</v>
      </c>
      <c r="H116" s="14" t="s">
        <v>2059</v>
      </c>
      <c r="I116" t="s">
        <v>703</v>
      </c>
      <c r="J116" s="14" t="s">
        <v>36</v>
      </c>
      <c r="K116" s="15">
        <v>45292</v>
      </c>
      <c r="L116" s="14" t="s">
        <v>2848</v>
      </c>
      <c r="M116" t="s">
        <v>3500</v>
      </c>
      <c r="N116" s="15">
        <v>45310</v>
      </c>
      <c r="O116" s="14"/>
      <c r="P116">
        <v>159</v>
      </c>
    </row>
    <row r="117" spans="1:16" x14ac:dyDescent="0.3">
      <c r="A117">
        <v>116</v>
      </c>
      <c r="B117" s="14" t="s">
        <v>2337</v>
      </c>
      <c r="C117" s="14" t="s">
        <v>206</v>
      </c>
      <c r="D117" s="14" t="s">
        <v>3490</v>
      </c>
      <c r="E117" s="14" t="s">
        <v>1119</v>
      </c>
      <c r="F117" s="14" t="s">
        <v>1209</v>
      </c>
      <c r="G117" s="14" t="s">
        <v>1623</v>
      </c>
      <c r="H117" s="14" t="s">
        <v>2086</v>
      </c>
      <c r="I117">
        <v>15721215</v>
      </c>
      <c r="J117" s="14" t="s">
        <v>35</v>
      </c>
      <c r="K117" s="15">
        <v>45261</v>
      </c>
      <c r="L117" s="14" t="s">
        <v>2847</v>
      </c>
      <c r="M117" t="s">
        <v>3523</v>
      </c>
      <c r="N117" s="15"/>
      <c r="O117" s="14"/>
      <c r="P117">
        <v>190</v>
      </c>
    </row>
    <row r="118" spans="1:16" x14ac:dyDescent="0.3">
      <c r="A118">
        <v>117</v>
      </c>
      <c r="B118" s="14" t="s">
        <v>2338</v>
      </c>
      <c r="C118" s="14" t="s">
        <v>207</v>
      </c>
      <c r="D118" s="14" t="s">
        <v>3490</v>
      </c>
      <c r="E118" s="14" t="s">
        <v>1118</v>
      </c>
      <c r="F118" s="14" t="s">
        <v>1210</v>
      </c>
      <c r="G118" s="14" t="s">
        <v>1624</v>
      </c>
      <c r="H118" s="14" t="s">
        <v>2064</v>
      </c>
      <c r="I118">
        <v>969813402</v>
      </c>
      <c r="J118" s="14" t="s">
        <v>35</v>
      </c>
      <c r="K118" s="15">
        <v>45292</v>
      </c>
      <c r="L118" s="14" t="s">
        <v>2847</v>
      </c>
      <c r="M118" t="s">
        <v>3524</v>
      </c>
      <c r="N118" s="15"/>
      <c r="O118" s="14" t="s">
        <v>3521</v>
      </c>
    </row>
    <row r="119" spans="1:16" x14ac:dyDescent="0.3">
      <c r="A119">
        <v>118</v>
      </c>
      <c r="B119" s="14" t="s">
        <v>2339</v>
      </c>
      <c r="C119" s="14" t="s">
        <v>208</v>
      </c>
      <c r="D119" s="14" t="s">
        <v>3489</v>
      </c>
      <c r="E119" s="14" t="s">
        <v>1118</v>
      </c>
      <c r="F119" s="14" t="s">
        <v>1211</v>
      </c>
      <c r="G119" s="14" t="s">
        <v>1625</v>
      </c>
      <c r="H119" s="14" t="s">
        <v>2086</v>
      </c>
      <c r="I119">
        <v>78997702</v>
      </c>
      <c r="J119" s="14" t="s">
        <v>35</v>
      </c>
      <c r="K119" s="15">
        <v>45261</v>
      </c>
      <c r="L119" s="14" t="s">
        <v>2847</v>
      </c>
      <c r="M119" t="s">
        <v>3523</v>
      </c>
      <c r="N119" s="15"/>
      <c r="O119" s="14"/>
      <c r="P119">
        <v>190</v>
      </c>
    </row>
    <row r="120" spans="1:16" x14ac:dyDescent="0.3">
      <c r="A120">
        <v>119</v>
      </c>
      <c r="B120" s="14" t="s">
        <v>2340</v>
      </c>
      <c r="C120" s="14" t="s">
        <v>209</v>
      </c>
      <c r="D120" s="14" t="s">
        <v>3490</v>
      </c>
      <c r="E120" s="14" t="s">
        <v>1118</v>
      </c>
      <c r="F120" s="14" t="s">
        <v>1212</v>
      </c>
      <c r="G120" s="14" t="s">
        <v>1626</v>
      </c>
      <c r="H120" s="14"/>
      <c r="I120">
        <v>964313098</v>
      </c>
      <c r="J120" s="14" t="s">
        <v>35</v>
      </c>
      <c r="K120" s="15">
        <v>45261</v>
      </c>
      <c r="L120" s="14" t="s">
        <v>2847</v>
      </c>
      <c r="M120" t="s">
        <v>3523</v>
      </c>
      <c r="N120" s="15"/>
      <c r="O120" s="14"/>
      <c r="P120">
        <v>190</v>
      </c>
    </row>
    <row r="121" spans="1:16" x14ac:dyDescent="0.3">
      <c r="A121">
        <v>120</v>
      </c>
      <c r="B121" s="14" t="s">
        <v>2341</v>
      </c>
      <c r="C121" s="14" t="s">
        <v>210</v>
      </c>
      <c r="D121" s="14" t="s">
        <v>3489</v>
      </c>
      <c r="E121" s="14" t="s">
        <v>1113</v>
      </c>
      <c r="F121" s="14" t="s">
        <v>1213</v>
      </c>
      <c r="G121" s="14" t="s">
        <v>1627</v>
      </c>
      <c r="H121" s="14" t="s">
        <v>2067</v>
      </c>
      <c r="I121" t="s">
        <v>704</v>
      </c>
      <c r="J121" s="14" t="s">
        <v>3525</v>
      </c>
      <c r="K121" s="15">
        <v>45261</v>
      </c>
      <c r="L121" s="14" t="s">
        <v>2846</v>
      </c>
      <c r="M121" t="s">
        <v>3523</v>
      </c>
      <c r="N121" s="15"/>
      <c r="O121" s="14"/>
      <c r="P121">
        <v>190</v>
      </c>
    </row>
    <row r="122" spans="1:16" x14ac:dyDescent="0.3">
      <c r="A122">
        <v>121</v>
      </c>
      <c r="B122" s="14" t="s">
        <v>2342</v>
      </c>
      <c r="C122" s="14" t="s">
        <v>211</v>
      </c>
      <c r="D122" s="14" t="s">
        <v>3490</v>
      </c>
      <c r="E122" s="14" t="s">
        <v>1113</v>
      </c>
      <c r="F122" s="14" t="s">
        <v>1126</v>
      </c>
      <c r="G122" s="14" t="s">
        <v>1628</v>
      </c>
      <c r="H122" s="14" t="s">
        <v>2061</v>
      </c>
      <c r="I122">
        <v>15688182</v>
      </c>
      <c r="J122" s="14" t="s">
        <v>3525</v>
      </c>
      <c r="K122" s="15">
        <v>45292</v>
      </c>
      <c r="L122" s="14" t="s">
        <v>2846</v>
      </c>
      <c r="M122" t="s">
        <v>3500</v>
      </c>
      <c r="N122" s="15">
        <v>45306</v>
      </c>
      <c r="O122" s="14"/>
      <c r="P122">
        <v>159</v>
      </c>
    </row>
    <row r="123" spans="1:16" x14ac:dyDescent="0.3">
      <c r="A123">
        <v>122</v>
      </c>
      <c r="B123" s="14" t="s">
        <v>2343</v>
      </c>
      <c r="C123" s="14" t="s">
        <v>212</v>
      </c>
      <c r="D123" s="14" t="s">
        <v>3490</v>
      </c>
      <c r="E123" s="14" t="s">
        <v>1114</v>
      </c>
      <c r="F123" s="14" t="s">
        <v>1214</v>
      </c>
      <c r="G123" s="14" t="s">
        <v>1629</v>
      </c>
      <c r="H123" s="14" t="s">
        <v>704</v>
      </c>
      <c r="I123">
        <v>70606375</v>
      </c>
      <c r="J123" s="14" t="s">
        <v>36</v>
      </c>
      <c r="K123" s="15">
        <v>45292</v>
      </c>
      <c r="L123" s="14" t="s">
        <v>2847</v>
      </c>
      <c r="M123" t="s">
        <v>3500</v>
      </c>
      <c r="N123" s="15">
        <v>45296</v>
      </c>
      <c r="O123" s="14"/>
      <c r="P123">
        <v>159</v>
      </c>
    </row>
    <row r="124" spans="1:16" x14ac:dyDescent="0.3">
      <c r="A124">
        <v>123</v>
      </c>
      <c r="B124" s="14" t="s">
        <v>2344</v>
      </c>
      <c r="C124" s="14" t="s">
        <v>213</v>
      </c>
      <c r="D124" s="14" t="s">
        <v>3490</v>
      </c>
      <c r="E124" s="14" t="s">
        <v>1113</v>
      </c>
      <c r="F124" s="14" t="s">
        <v>1128</v>
      </c>
      <c r="G124" s="14" t="s">
        <v>1630</v>
      </c>
      <c r="H124" s="14" t="s">
        <v>2061</v>
      </c>
      <c r="I124">
        <v>78547666</v>
      </c>
      <c r="J124" s="14" t="s">
        <v>1213</v>
      </c>
      <c r="K124" s="15">
        <v>45292</v>
      </c>
      <c r="L124" s="14" t="s">
        <v>2847</v>
      </c>
      <c r="M124" t="s">
        <v>3501</v>
      </c>
      <c r="N124" s="15">
        <v>45308</v>
      </c>
      <c r="O124" s="14"/>
      <c r="P124">
        <v>159</v>
      </c>
    </row>
    <row r="125" spans="1:16" x14ac:dyDescent="0.3">
      <c r="A125">
        <v>124</v>
      </c>
      <c r="B125" s="14" t="s">
        <v>2345</v>
      </c>
      <c r="C125" s="14" t="s">
        <v>214</v>
      </c>
      <c r="D125" s="14" t="s">
        <v>3490</v>
      </c>
      <c r="E125" s="14" t="s">
        <v>1113</v>
      </c>
      <c r="F125" s="14" t="s">
        <v>1213</v>
      </c>
      <c r="G125" s="14" t="s">
        <v>1631</v>
      </c>
      <c r="H125" s="14" t="s">
        <v>2061</v>
      </c>
      <c r="I125">
        <v>12422012</v>
      </c>
      <c r="J125" s="14" t="s">
        <v>1213</v>
      </c>
      <c r="K125" s="15">
        <v>45292</v>
      </c>
      <c r="L125" s="14" t="s">
        <v>2847</v>
      </c>
      <c r="M125" t="s">
        <v>3501</v>
      </c>
      <c r="N125" s="15">
        <v>45308</v>
      </c>
      <c r="O125" s="14" t="s">
        <v>3521</v>
      </c>
      <c r="P125">
        <v>16</v>
      </c>
    </row>
    <row r="126" spans="1:16" x14ac:dyDescent="0.3">
      <c r="A126">
        <v>125</v>
      </c>
      <c r="B126" s="14" t="s">
        <v>2346</v>
      </c>
      <c r="C126" s="14" t="s">
        <v>215</v>
      </c>
      <c r="D126" s="14" t="s">
        <v>3490</v>
      </c>
      <c r="E126" s="14" t="s">
        <v>1113</v>
      </c>
      <c r="F126" s="14" t="s">
        <v>1213</v>
      </c>
      <c r="G126" s="14" t="s">
        <v>1632</v>
      </c>
      <c r="H126" s="14" t="s">
        <v>2088</v>
      </c>
      <c r="I126">
        <v>12550155</v>
      </c>
      <c r="J126" s="14" t="s">
        <v>1213</v>
      </c>
      <c r="K126" s="15">
        <v>45292</v>
      </c>
      <c r="L126" s="14" t="s">
        <v>2847</v>
      </c>
      <c r="M126" t="s">
        <v>3524</v>
      </c>
      <c r="N126" s="15"/>
      <c r="O126" s="14" t="s">
        <v>3521</v>
      </c>
    </row>
    <row r="127" spans="1:16" x14ac:dyDescent="0.3">
      <c r="A127">
        <v>126</v>
      </c>
      <c r="B127" s="14" t="s">
        <v>2347</v>
      </c>
      <c r="C127" s="14" t="s">
        <v>216</v>
      </c>
      <c r="D127" s="14" t="s">
        <v>3490</v>
      </c>
      <c r="E127" s="14" t="s">
        <v>1113</v>
      </c>
      <c r="F127" s="14" t="s">
        <v>1215</v>
      </c>
      <c r="G127" s="14" t="s">
        <v>1633</v>
      </c>
      <c r="H127" s="14" t="s">
        <v>2061</v>
      </c>
      <c r="I127">
        <v>78999311</v>
      </c>
      <c r="J127" s="14" t="s">
        <v>30</v>
      </c>
      <c r="K127" s="15">
        <v>45292</v>
      </c>
      <c r="L127" s="14" t="s">
        <v>2847</v>
      </c>
      <c r="M127" t="s">
        <v>3500</v>
      </c>
      <c r="N127" s="15">
        <v>45298</v>
      </c>
      <c r="O127" s="14"/>
      <c r="P127">
        <v>159</v>
      </c>
    </row>
    <row r="128" spans="1:16" x14ac:dyDescent="0.3">
      <c r="A128">
        <v>127</v>
      </c>
      <c r="B128" s="14" t="s">
        <v>2348</v>
      </c>
      <c r="C128" s="14" t="s">
        <v>217</v>
      </c>
      <c r="D128" s="14" t="s">
        <v>3490</v>
      </c>
      <c r="E128" s="14" t="s">
        <v>1115</v>
      </c>
      <c r="F128" s="14"/>
      <c r="G128" s="14"/>
      <c r="H128" s="14"/>
      <c r="J128" s="14" t="s">
        <v>36</v>
      </c>
      <c r="K128" s="15">
        <v>45292</v>
      </c>
      <c r="L128" s="14" t="s">
        <v>2845</v>
      </c>
      <c r="M128" t="s">
        <v>3500</v>
      </c>
      <c r="N128" s="15">
        <v>45292</v>
      </c>
      <c r="O128" s="14"/>
      <c r="P128">
        <v>159</v>
      </c>
    </row>
    <row r="129" spans="1:16" x14ac:dyDescent="0.3">
      <c r="A129">
        <v>128</v>
      </c>
      <c r="B129" s="14" t="s">
        <v>2349</v>
      </c>
      <c r="C129" s="14" t="s">
        <v>218</v>
      </c>
      <c r="D129" s="14" t="s">
        <v>3489</v>
      </c>
      <c r="E129" s="14" t="s">
        <v>1115</v>
      </c>
      <c r="F129" s="14"/>
      <c r="G129" s="14"/>
      <c r="H129" s="14"/>
      <c r="J129" s="14" t="s">
        <v>3525</v>
      </c>
      <c r="K129" s="15">
        <v>45292</v>
      </c>
      <c r="L129" s="14" t="s">
        <v>2848</v>
      </c>
      <c r="M129" t="s">
        <v>3500</v>
      </c>
      <c r="N129" s="15">
        <v>45293</v>
      </c>
      <c r="O129" s="14"/>
      <c r="P129">
        <v>159</v>
      </c>
    </row>
    <row r="130" spans="1:16" x14ac:dyDescent="0.3">
      <c r="A130">
        <v>129</v>
      </c>
      <c r="B130" s="14" t="s">
        <v>2350</v>
      </c>
      <c r="C130" s="14" t="s">
        <v>219</v>
      </c>
      <c r="D130" s="14" t="s">
        <v>3489</v>
      </c>
      <c r="E130" s="14" t="s">
        <v>1115</v>
      </c>
      <c r="F130" s="14" t="s">
        <v>1208</v>
      </c>
      <c r="G130" s="14" t="s">
        <v>1634</v>
      </c>
      <c r="H130" s="14" t="s">
        <v>2055</v>
      </c>
      <c r="I130" t="s">
        <v>705</v>
      </c>
      <c r="J130" s="14" t="s">
        <v>36</v>
      </c>
      <c r="K130" s="15">
        <v>45293</v>
      </c>
      <c r="L130" s="14" t="s">
        <v>2848</v>
      </c>
      <c r="M130" t="s">
        <v>3500</v>
      </c>
      <c r="N130" s="15">
        <v>45310</v>
      </c>
      <c r="O130" s="14" t="s">
        <v>3521</v>
      </c>
      <c r="P130">
        <v>17</v>
      </c>
    </row>
    <row r="131" spans="1:16" x14ac:dyDescent="0.3">
      <c r="A131">
        <v>130</v>
      </c>
      <c r="B131" s="14" t="s">
        <v>2351</v>
      </c>
      <c r="C131" s="14" t="s">
        <v>220</v>
      </c>
      <c r="D131" s="14" t="s">
        <v>3490</v>
      </c>
      <c r="E131" s="14" t="s">
        <v>1118</v>
      </c>
      <c r="F131" s="14" t="s">
        <v>1216</v>
      </c>
      <c r="G131" s="14" t="s">
        <v>1635</v>
      </c>
      <c r="H131" s="14"/>
      <c r="J131" s="14" t="s">
        <v>35</v>
      </c>
      <c r="K131" s="15">
        <v>45293</v>
      </c>
      <c r="L131" s="14" t="s">
        <v>2846</v>
      </c>
      <c r="M131" t="s">
        <v>3523</v>
      </c>
      <c r="N131" s="15"/>
      <c r="O131" s="14"/>
      <c r="P131">
        <v>158</v>
      </c>
    </row>
    <row r="132" spans="1:16" x14ac:dyDescent="0.3">
      <c r="A132">
        <v>131</v>
      </c>
      <c r="B132" s="14" t="s">
        <v>2352</v>
      </c>
      <c r="C132" s="14" t="s">
        <v>504</v>
      </c>
      <c r="D132" s="14" t="s">
        <v>3490</v>
      </c>
      <c r="E132" s="14" t="s">
        <v>1113</v>
      </c>
      <c r="F132" s="14" t="s">
        <v>1217</v>
      </c>
      <c r="G132" s="14" t="s">
        <v>1636</v>
      </c>
      <c r="H132" s="14" t="s">
        <v>2052</v>
      </c>
      <c r="I132" t="s">
        <v>706</v>
      </c>
      <c r="J132" s="14" t="s">
        <v>30</v>
      </c>
      <c r="K132" s="15">
        <v>45293</v>
      </c>
      <c r="L132" s="14" t="s">
        <v>2847</v>
      </c>
      <c r="M132" t="s">
        <v>3523</v>
      </c>
      <c r="N132" s="15"/>
      <c r="O132" s="14"/>
      <c r="P132">
        <v>158</v>
      </c>
    </row>
    <row r="133" spans="1:16" x14ac:dyDescent="0.3">
      <c r="A133">
        <v>132</v>
      </c>
      <c r="B133" s="14" t="s">
        <v>2353</v>
      </c>
      <c r="C133" s="14" t="s">
        <v>221</v>
      </c>
      <c r="D133" s="14" t="s">
        <v>3489</v>
      </c>
      <c r="E133" s="14" t="s">
        <v>1115</v>
      </c>
      <c r="F133" s="14" t="s">
        <v>1218</v>
      </c>
      <c r="G133" s="14" t="s">
        <v>1637</v>
      </c>
      <c r="H133" s="14" t="s">
        <v>2088</v>
      </c>
      <c r="I133" t="s">
        <v>707</v>
      </c>
      <c r="J133" s="14" t="s">
        <v>30</v>
      </c>
      <c r="K133" s="15">
        <v>45294</v>
      </c>
      <c r="L133" s="14" t="s">
        <v>2847</v>
      </c>
      <c r="M133" t="s">
        <v>3500</v>
      </c>
      <c r="N133" s="15">
        <v>45308</v>
      </c>
      <c r="O133" s="14" t="s">
        <v>3521</v>
      </c>
      <c r="P133">
        <v>14</v>
      </c>
    </row>
    <row r="134" spans="1:16" x14ac:dyDescent="0.3">
      <c r="A134">
        <v>133</v>
      </c>
      <c r="B134" s="14" t="s">
        <v>2354</v>
      </c>
      <c r="C134" s="14" t="s">
        <v>222</v>
      </c>
      <c r="D134" s="14" t="s">
        <v>3490</v>
      </c>
      <c r="E134" s="14" t="s">
        <v>1113</v>
      </c>
      <c r="F134" s="14" t="s">
        <v>1186</v>
      </c>
      <c r="G134" s="14" t="s">
        <v>1638</v>
      </c>
      <c r="H134" s="14" t="s">
        <v>2065</v>
      </c>
      <c r="J134" s="14" t="s">
        <v>30</v>
      </c>
      <c r="K134" s="15">
        <v>45294</v>
      </c>
      <c r="L134" s="14" t="s">
        <v>2847</v>
      </c>
      <c r="M134" t="s">
        <v>3500</v>
      </c>
      <c r="N134" s="15">
        <v>45308</v>
      </c>
      <c r="O134" s="14" t="s">
        <v>3521</v>
      </c>
      <c r="P134">
        <v>14</v>
      </c>
    </row>
    <row r="135" spans="1:16" x14ac:dyDescent="0.3">
      <c r="A135">
        <v>134</v>
      </c>
      <c r="B135" s="14" t="s">
        <v>2355</v>
      </c>
      <c r="C135" s="14" t="s">
        <v>2123</v>
      </c>
      <c r="D135" s="14" t="s">
        <v>3490</v>
      </c>
      <c r="E135" s="14" t="s">
        <v>1118</v>
      </c>
      <c r="F135" s="14" t="s">
        <v>1219</v>
      </c>
      <c r="G135" s="14" t="s">
        <v>1639</v>
      </c>
      <c r="H135" s="14"/>
      <c r="I135" t="s">
        <v>708</v>
      </c>
      <c r="J135" s="14" t="s">
        <v>35</v>
      </c>
      <c r="K135" s="15">
        <v>45294</v>
      </c>
      <c r="L135" s="14" t="s">
        <v>2847</v>
      </c>
      <c r="M135" t="s">
        <v>3523</v>
      </c>
      <c r="N135" s="15"/>
      <c r="O135" s="14"/>
      <c r="P135">
        <v>157</v>
      </c>
    </row>
    <row r="136" spans="1:16" x14ac:dyDescent="0.3">
      <c r="A136">
        <v>135</v>
      </c>
      <c r="B136" s="14" t="s">
        <v>2356</v>
      </c>
      <c r="C136" s="14" t="s">
        <v>2124</v>
      </c>
      <c r="D136" s="14" t="s">
        <v>3490</v>
      </c>
      <c r="E136" s="14" t="s">
        <v>1118</v>
      </c>
      <c r="F136" s="14" t="s">
        <v>1220</v>
      </c>
      <c r="G136" s="14" t="s">
        <v>1640</v>
      </c>
      <c r="H136" s="14"/>
      <c r="I136" t="s">
        <v>709</v>
      </c>
      <c r="J136" s="14" t="s">
        <v>3525</v>
      </c>
      <c r="K136" s="15">
        <v>45294</v>
      </c>
      <c r="L136" s="14" t="s">
        <v>2847</v>
      </c>
      <c r="M136" t="s">
        <v>3523</v>
      </c>
      <c r="N136" s="15"/>
      <c r="O136" s="14"/>
      <c r="P136">
        <v>157</v>
      </c>
    </row>
    <row r="137" spans="1:16" x14ac:dyDescent="0.3">
      <c r="A137">
        <v>136</v>
      </c>
      <c r="B137" s="14" t="s">
        <v>2357</v>
      </c>
      <c r="C137" s="14" t="s">
        <v>2125</v>
      </c>
      <c r="D137" s="14" t="s">
        <v>3490</v>
      </c>
      <c r="E137" s="14" t="s">
        <v>1118</v>
      </c>
      <c r="F137" s="14" t="s">
        <v>1221</v>
      </c>
      <c r="G137" s="14" t="s">
        <v>1641</v>
      </c>
      <c r="H137" s="14"/>
      <c r="I137" t="s">
        <v>710</v>
      </c>
      <c r="J137" s="14" t="s">
        <v>30</v>
      </c>
      <c r="K137" s="15">
        <v>45294</v>
      </c>
      <c r="L137" s="14" t="s">
        <v>2847</v>
      </c>
      <c r="M137" t="s">
        <v>3523</v>
      </c>
      <c r="N137" s="15"/>
      <c r="O137" s="14"/>
      <c r="P137">
        <v>157</v>
      </c>
    </row>
    <row r="138" spans="1:16" x14ac:dyDescent="0.3">
      <c r="A138">
        <v>137</v>
      </c>
      <c r="B138" s="14" t="s">
        <v>2358</v>
      </c>
      <c r="C138" s="14" t="s">
        <v>223</v>
      </c>
      <c r="D138" s="14" t="s">
        <v>3489</v>
      </c>
      <c r="E138" s="14" t="s">
        <v>1118</v>
      </c>
      <c r="F138" s="14" t="s">
        <v>1222</v>
      </c>
      <c r="G138" s="14" t="s">
        <v>1642</v>
      </c>
      <c r="H138" s="14"/>
      <c r="I138" t="s">
        <v>711</v>
      </c>
      <c r="J138" s="14" t="s">
        <v>72</v>
      </c>
      <c r="K138" s="15">
        <v>45294</v>
      </c>
      <c r="L138" s="14" t="s">
        <v>2847</v>
      </c>
      <c r="M138" t="s">
        <v>3523</v>
      </c>
      <c r="N138" s="15"/>
      <c r="O138" s="14"/>
      <c r="P138">
        <v>157</v>
      </c>
    </row>
    <row r="139" spans="1:16" x14ac:dyDescent="0.3">
      <c r="A139">
        <v>138</v>
      </c>
      <c r="B139" s="14" t="s">
        <v>2359</v>
      </c>
      <c r="C139" s="14" t="s">
        <v>2126</v>
      </c>
      <c r="D139" s="14" t="s">
        <v>3490</v>
      </c>
      <c r="E139" s="14" t="s">
        <v>1118</v>
      </c>
      <c r="F139" s="14" t="s">
        <v>1223</v>
      </c>
      <c r="G139" s="14" t="s">
        <v>1643</v>
      </c>
      <c r="H139" s="14"/>
      <c r="I139" t="s">
        <v>712</v>
      </c>
      <c r="J139" s="14" t="s">
        <v>30</v>
      </c>
      <c r="K139" s="15">
        <v>45294</v>
      </c>
      <c r="L139" s="14" t="s">
        <v>2847</v>
      </c>
      <c r="M139" t="s">
        <v>3523</v>
      </c>
      <c r="N139" s="15"/>
      <c r="O139" s="14"/>
      <c r="P139">
        <v>157</v>
      </c>
    </row>
    <row r="140" spans="1:16" x14ac:dyDescent="0.3">
      <c r="A140">
        <v>139</v>
      </c>
      <c r="B140" s="14" t="s">
        <v>2360</v>
      </c>
      <c r="C140" s="14" t="s">
        <v>2127</v>
      </c>
      <c r="D140" s="14" t="s">
        <v>3489</v>
      </c>
      <c r="E140" s="14" t="s">
        <v>1113</v>
      </c>
      <c r="F140" s="14" t="s">
        <v>28</v>
      </c>
      <c r="G140" s="14" t="s">
        <v>1644</v>
      </c>
      <c r="H140" s="14" t="s">
        <v>2052</v>
      </c>
      <c r="I140" t="s">
        <v>713</v>
      </c>
      <c r="J140" s="14" t="s">
        <v>27</v>
      </c>
      <c r="K140" s="15">
        <v>45294</v>
      </c>
      <c r="L140" s="14" t="s">
        <v>2847</v>
      </c>
      <c r="M140" t="s">
        <v>3523</v>
      </c>
      <c r="N140" s="15"/>
      <c r="O140" s="14"/>
      <c r="P140">
        <v>157</v>
      </c>
    </row>
    <row r="141" spans="1:16" x14ac:dyDescent="0.3">
      <c r="A141">
        <v>140</v>
      </c>
      <c r="B141" s="14" t="s">
        <v>2361</v>
      </c>
      <c r="C141" s="14" t="s">
        <v>224</v>
      </c>
      <c r="D141" s="14" t="s">
        <v>3489</v>
      </c>
      <c r="E141" s="14" t="s">
        <v>1118</v>
      </c>
      <c r="F141" s="14" t="s">
        <v>1186</v>
      </c>
      <c r="G141" s="14" t="s">
        <v>1645</v>
      </c>
      <c r="H141" s="14" t="s">
        <v>2052</v>
      </c>
      <c r="I141" t="s">
        <v>714</v>
      </c>
      <c r="J141" s="14" t="s">
        <v>30</v>
      </c>
      <c r="K141" s="15">
        <v>45294</v>
      </c>
      <c r="L141" s="14" t="s">
        <v>2847</v>
      </c>
      <c r="M141" t="s">
        <v>3523</v>
      </c>
      <c r="N141" s="15"/>
      <c r="O141" s="14"/>
      <c r="P141">
        <v>157</v>
      </c>
    </row>
    <row r="142" spans="1:16" x14ac:dyDescent="0.3">
      <c r="A142">
        <v>141</v>
      </c>
      <c r="B142" s="14" t="s">
        <v>2362</v>
      </c>
      <c r="C142" s="14" t="s">
        <v>2128</v>
      </c>
      <c r="D142" s="14" t="s">
        <v>3489</v>
      </c>
      <c r="E142" s="14" t="s">
        <v>1113</v>
      </c>
      <c r="F142" s="14" t="s">
        <v>1224</v>
      </c>
      <c r="G142" s="14" t="s">
        <v>1646</v>
      </c>
      <c r="H142" s="14" t="s">
        <v>2052</v>
      </c>
      <c r="I142" t="s">
        <v>715</v>
      </c>
      <c r="J142" s="14" t="s">
        <v>28</v>
      </c>
      <c r="K142" s="15">
        <v>45294</v>
      </c>
      <c r="L142" s="14" t="s">
        <v>2847</v>
      </c>
      <c r="M142" t="s">
        <v>3523</v>
      </c>
      <c r="N142" s="15"/>
      <c r="O142" s="14"/>
      <c r="P142">
        <v>157</v>
      </c>
    </row>
    <row r="143" spans="1:16" x14ac:dyDescent="0.3">
      <c r="A143">
        <v>142</v>
      </c>
      <c r="B143" s="14" t="s">
        <v>2363</v>
      </c>
      <c r="C143" s="14" t="s">
        <v>2129</v>
      </c>
      <c r="D143" s="14" t="s">
        <v>3489</v>
      </c>
      <c r="E143" s="14" t="s">
        <v>1118</v>
      </c>
      <c r="F143" s="14" t="s">
        <v>1225</v>
      </c>
      <c r="G143" s="14" t="s">
        <v>1647</v>
      </c>
      <c r="H143" s="14"/>
      <c r="I143" t="s">
        <v>716</v>
      </c>
      <c r="J143" s="14" t="s">
        <v>30</v>
      </c>
      <c r="K143" s="15">
        <v>45294</v>
      </c>
      <c r="L143" s="14" t="s">
        <v>2847</v>
      </c>
      <c r="M143" t="s">
        <v>3523</v>
      </c>
      <c r="N143" s="15"/>
      <c r="O143" s="14"/>
      <c r="P143">
        <v>157</v>
      </c>
    </row>
    <row r="144" spans="1:16" x14ac:dyDescent="0.3">
      <c r="A144">
        <v>143</v>
      </c>
      <c r="B144" s="14" t="s">
        <v>2364</v>
      </c>
      <c r="C144" s="14" t="s">
        <v>2130</v>
      </c>
      <c r="D144" s="14" t="s">
        <v>3490</v>
      </c>
      <c r="E144" s="14" t="s">
        <v>1113</v>
      </c>
      <c r="F144" s="14" t="s">
        <v>1226</v>
      </c>
      <c r="G144" s="14" t="s">
        <v>1648</v>
      </c>
      <c r="H144" s="14" t="s">
        <v>2052</v>
      </c>
      <c r="I144" t="s">
        <v>717</v>
      </c>
      <c r="J144" s="14" t="s">
        <v>44</v>
      </c>
      <c r="K144" s="15">
        <v>45294</v>
      </c>
      <c r="L144" s="14" t="s">
        <v>2847</v>
      </c>
      <c r="M144" t="s">
        <v>3523</v>
      </c>
      <c r="N144" s="15"/>
      <c r="O144" s="14"/>
      <c r="P144">
        <v>157</v>
      </c>
    </row>
    <row r="145" spans="1:16" x14ac:dyDescent="0.3">
      <c r="A145">
        <v>144</v>
      </c>
      <c r="B145" s="14" t="s">
        <v>2365</v>
      </c>
      <c r="C145" s="14" t="s">
        <v>2131</v>
      </c>
      <c r="D145" s="14" t="s">
        <v>3490</v>
      </c>
      <c r="E145" s="14" t="s">
        <v>1113</v>
      </c>
      <c r="F145" s="14" t="s">
        <v>1227</v>
      </c>
      <c r="G145" s="14" t="s">
        <v>1649</v>
      </c>
      <c r="H145" s="14" t="s">
        <v>2052</v>
      </c>
      <c r="I145" t="s">
        <v>718</v>
      </c>
      <c r="J145" s="14" t="s">
        <v>30</v>
      </c>
      <c r="K145" s="15">
        <v>45294</v>
      </c>
      <c r="L145" s="14" t="s">
        <v>2847</v>
      </c>
      <c r="M145" t="s">
        <v>3523</v>
      </c>
      <c r="N145" s="15"/>
      <c r="O145" s="14"/>
      <c r="P145">
        <v>157</v>
      </c>
    </row>
    <row r="146" spans="1:16" x14ac:dyDescent="0.3">
      <c r="A146">
        <v>145</v>
      </c>
      <c r="B146" s="14" t="s">
        <v>2366</v>
      </c>
      <c r="C146" s="14" t="s">
        <v>2132</v>
      </c>
      <c r="D146" s="14" t="s">
        <v>3490</v>
      </c>
      <c r="E146" s="14" t="s">
        <v>1113</v>
      </c>
      <c r="F146" s="14" t="s">
        <v>1228</v>
      </c>
      <c r="G146" s="14" t="s">
        <v>1530</v>
      </c>
      <c r="H146" s="14"/>
      <c r="I146" t="s">
        <v>719</v>
      </c>
      <c r="J146" s="14" t="s">
        <v>44</v>
      </c>
      <c r="K146" s="15">
        <v>45294</v>
      </c>
      <c r="L146" s="14" t="s">
        <v>2847</v>
      </c>
      <c r="M146" t="s">
        <v>3523</v>
      </c>
      <c r="N146" s="15"/>
      <c r="O146" s="14"/>
      <c r="P146">
        <v>157</v>
      </c>
    </row>
    <row r="147" spans="1:16" x14ac:dyDescent="0.3">
      <c r="A147">
        <v>146</v>
      </c>
      <c r="B147" s="14" t="s">
        <v>2367</v>
      </c>
      <c r="C147" s="14" t="s">
        <v>225</v>
      </c>
      <c r="D147" s="14" t="s">
        <v>3489</v>
      </c>
      <c r="E147" s="14" t="s">
        <v>1118</v>
      </c>
      <c r="F147" s="14" t="s">
        <v>36</v>
      </c>
      <c r="G147" s="14" t="s">
        <v>1650</v>
      </c>
      <c r="H147" s="14" t="s">
        <v>2088</v>
      </c>
      <c r="I147">
        <v>12699807</v>
      </c>
      <c r="J147" s="14" t="s">
        <v>36</v>
      </c>
      <c r="K147" s="15">
        <v>45294</v>
      </c>
      <c r="L147" s="14" t="s">
        <v>2849</v>
      </c>
      <c r="M147" t="s">
        <v>3501</v>
      </c>
      <c r="N147" s="15">
        <v>45308</v>
      </c>
      <c r="O147" s="14" t="s">
        <v>3521</v>
      </c>
      <c r="P147">
        <v>14</v>
      </c>
    </row>
    <row r="148" spans="1:16" x14ac:dyDescent="0.3">
      <c r="A148">
        <v>147</v>
      </c>
      <c r="B148" s="14" t="s">
        <v>2368</v>
      </c>
      <c r="C148" s="14" t="s">
        <v>226</v>
      </c>
      <c r="D148" s="14" t="s">
        <v>3490</v>
      </c>
      <c r="E148" s="14" t="s">
        <v>1118</v>
      </c>
      <c r="F148" s="14" t="s">
        <v>1229</v>
      </c>
      <c r="G148" s="14" t="s">
        <v>1651</v>
      </c>
      <c r="H148" s="14" t="s">
        <v>2066</v>
      </c>
      <c r="I148">
        <v>12857567</v>
      </c>
      <c r="J148" s="14" t="s">
        <v>1213</v>
      </c>
      <c r="K148" s="15">
        <v>45294</v>
      </c>
      <c r="L148" s="14" t="s">
        <v>2845</v>
      </c>
      <c r="M148" t="s">
        <v>3501</v>
      </c>
      <c r="N148" s="15">
        <v>45308</v>
      </c>
      <c r="O148" s="14" t="s">
        <v>3521</v>
      </c>
      <c r="P148">
        <v>14</v>
      </c>
    </row>
    <row r="149" spans="1:16" x14ac:dyDescent="0.3">
      <c r="A149">
        <v>148</v>
      </c>
      <c r="B149" s="14" t="s">
        <v>2369</v>
      </c>
      <c r="C149" s="14" t="s">
        <v>2133</v>
      </c>
      <c r="D149" s="14" t="s">
        <v>3490</v>
      </c>
      <c r="E149" s="14" t="s">
        <v>1118</v>
      </c>
      <c r="F149" s="14" t="s">
        <v>1230</v>
      </c>
      <c r="G149" s="14" t="s">
        <v>1652</v>
      </c>
      <c r="H149" s="14"/>
      <c r="I149" t="s">
        <v>720</v>
      </c>
      <c r="J149" s="14" t="s">
        <v>3525</v>
      </c>
      <c r="K149" s="15">
        <v>45295</v>
      </c>
      <c r="L149" s="14" t="s">
        <v>2847</v>
      </c>
      <c r="M149" t="s">
        <v>3523</v>
      </c>
      <c r="N149" s="15"/>
      <c r="O149" s="14"/>
      <c r="P149">
        <v>156</v>
      </c>
    </row>
    <row r="150" spans="1:16" x14ac:dyDescent="0.3">
      <c r="A150">
        <v>149</v>
      </c>
      <c r="B150" s="14" t="s">
        <v>2370</v>
      </c>
      <c r="C150" s="14" t="s">
        <v>2134</v>
      </c>
      <c r="D150" s="14" t="s">
        <v>3490</v>
      </c>
      <c r="E150" s="14" t="s">
        <v>1118</v>
      </c>
      <c r="F150" s="14" t="s">
        <v>1231</v>
      </c>
      <c r="G150" s="14" t="s">
        <v>1653</v>
      </c>
      <c r="H150" s="14"/>
      <c r="I150" t="s">
        <v>721</v>
      </c>
      <c r="J150" s="14" t="s">
        <v>3525</v>
      </c>
      <c r="K150" s="15">
        <v>45295</v>
      </c>
      <c r="L150" s="14" t="s">
        <v>2847</v>
      </c>
      <c r="M150" t="s">
        <v>3523</v>
      </c>
      <c r="N150" s="15"/>
      <c r="O150" s="14"/>
      <c r="P150">
        <v>156</v>
      </c>
    </row>
    <row r="151" spans="1:16" x14ac:dyDescent="0.3">
      <c r="A151">
        <v>150</v>
      </c>
      <c r="B151" s="14" t="s">
        <v>2371</v>
      </c>
      <c r="C151" s="14" t="s">
        <v>227</v>
      </c>
      <c r="D151" s="14" t="s">
        <v>3490</v>
      </c>
      <c r="E151" s="14" t="s">
        <v>1113</v>
      </c>
      <c r="F151" s="14" t="s">
        <v>1232</v>
      </c>
      <c r="G151" s="14" t="s">
        <v>1654</v>
      </c>
      <c r="H151" s="14" t="s">
        <v>2052</v>
      </c>
      <c r="I151" t="s">
        <v>722</v>
      </c>
      <c r="J151" s="14" t="s">
        <v>44</v>
      </c>
      <c r="K151" s="15">
        <v>45295</v>
      </c>
      <c r="L151" s="14" t="s">
        <v>2847</v>
      </c>
      <c r="M151" t="s">
        <v>3523</v>
      </c>
      <c r="N151" s="15"/>
      <c r="O151" s="14"/>
      <c r="P151">
        <v>156</v>
      </c>
    </row>
    <row r="152" spans="1:16" x14ac:dyDescent="0.3">
      <c r="A152">
        <v>151</v>
      </c>
      <c r="B152" s="14" t="s">
        <v>2372</v>
      </c>
      <c r="C152" s="14" t="s">
        <v>2135</v>
      </c>
      <c r="D152" s="14" t="s">
        <v>3490</v>
      </c>
      <c r="E152" s="14" t="s">
        <v>1118</v>
      </c>
      <c r="F152" s="14" t="s">
        <v>1233</v>
      </c>
      <c r="G152" s="14" t="s">
        <v>1655</v>
      </c>
      <c r="H152" s="14"/>
      <c r="I152" t="s">
        <v>723</v>
      </c>
      <c r="J152" s="14" t="s">
        <v>36</v>
      </c>
      <c r="K152" s="15">
        <v>45295</v>
      </c>
      <c r="L152" s="14" t="s">
        <v>2847</v>
      </c>
      <c r="M152" t="s">
        <v>3523</v>
      </c>
      <c r="N152" s="15"/>
      <c r="O152" s="14"/>
      <c r="P152">
        <v>156</v>
      </c>
    </row>
    <row r="153" spans="1:16" x14ac:dyDescent="0.3">
      <c r="A153">
        <v>152</v>
      </c>
      <c r="B153" s="14" t="s">
        <v>2373</v>
      </c>
      <c r="C153" s="14" t="s">
        <v>228</v>
      </c>
      <c r="D153" s="14" t="s">
        <v>3489</v>
      </c>
      <c r="E153" s="14" t="s">
        <v>1118</v>
      </c>
      <c r="F153" s="14" t="s">
        <v>1234</v>
      </c>
      <c r="G153" s="14" t="s">
        <v>1656</v>
      </c>
      <c r="H153" s="14" t="s">
        <v>2067</v>
      </c>
      <c r="I153" t="s">
        <v>724</v>
      </c>
      <c r="J153" s="14" t="s">
        <v>3525</v>
      </c>
      <c r="K153" s="15">
        <v>45296</v>
      </c>
      <c r="L153" s="14" t="s">
        <v>2848</v>
      </c>
      <c r="M153" t="s">
        <v>3500</v>
      </c>
      <c r="N153" s="15">
        <v>45308</v>
      </c>
      <c r="O153" s="14"/>
      <c r="P153">
        <v>155</v>
      </c>
    </row>
    <row r="154" spans="1:16" x14ac:dyDescent="0.3">
      <c r="A154">
        <v>153</v>
      </c>
      <c r="B154" s="14" t="s">
        <v>2374</v>
      </c>
      <c r="C154" s="14" t="s">
        <v>229</v>
      </c>
      <c r="D154" s="14" t="s">
        <v>3490</v>
      </c>
      <c r="E154" s="14" t="s">
        <v>1113</v>
      </c>
      <c r="F154" s="14" t="s">
        <v>1235</v>
      </c>
      <c r="G154" s="14" t="s">
        <v>1657</v>
      </c>
      <c r="H154" s="14" t="s">
        <v>2088</v>
      </c>
      <c r="I154" t="s">
        <v>725</v>
      </c>
      <c r="J154" s="14" t="s">
        <v>27</v>
      </c>
      <c r="K154" s="15">
        <v>45296</v>
      </c>
      <c r="L154" s="14" t="s">
        <v>2847</v>
      </c>
      <c r="M154" t="s">
        <v>3501</v>
      </c>
      <c r="N154" s="15">
        <v>45358</v>
      </c>
      <c r="O154" s="14" t="s">
        <v>3521</v>
      </c>
      <c r="P154">
        <v>62</v>
      </c>
    </row>
    <row r="155" spans="1:16" x14ac:dyDescent="0.3">
      <c r="A155">
        <v>154</v>
      </c>
      <c r="B155" s="14" t="s">
        <v>2375</v>
      </c>
      <c r="C155" s="14" t="s">
        <v>2136</v>
      </c>
      <c r="D155" s="14" t="s">
        <v>3490</v>
      </c>
      <c r="E155" s="14" t="s">
        <v>1118</v>
      </c>
      <c r="F155" s="14" t="s">
        <v>1143</v>
      </c>
      <c r="G155" s="14" t="s">
        <v>1658</v>
      </c>
      <c r="H155" s="14" t="s">
        <v>2052</v>
      </c>
      <c r="I155" t="s">
        <v>726</v>
      </c>
      <c r="J155" s="14" t="s">
        <v>3525</v>
      </c>
      <c r="K155" s="15">
        <v>45296</v>
      </c>
      <c r="L155" s="14" t="s">
        <v>2847</v>
      </c>
      <c r="M155" t="s">
        <v>3523</v>
      </c>
      <c r="N155" s="15"/>
      <c r="O155" s="14"/>
      <c r="P155">
        <v>155</v>
      </c>
    </row>
    <row r="156" spans="1:16" x14ac:dyDescent="0.3">
      <c r="A156">
        <v>155</v>
      </c>
      <c r="B156" s="14" t="s">
        <v>2376</v>
      </c>
      <c r="C156" s="14" t="s">
        <v>2137</v>
      </c>
      <c r="D156" s="14" t="s">
        <v>3489</v>
      </c>
      <c r="E156" s="14" t="s">
        <v>1118</v>
      </c>
      <c r="F156" s="14" t="s">
        <v>1236</v>
      </c>
      <c r="G156" s="14" t="s">
        <v>1659</v>
      </c>
      <c r="H156" s="14"/>
      <c r="I156" t="s">
        <v>727</v>
      </c>
      <c r="J156" s="14" t="s">
        <v>64</v>
      </c>
      <c r="K156" s="15">
        <v>45296</v>
      </c>
      <c r="L156" s="14" t="s">
        <v>2847</v>
      </c>
      <c r="M156" t="s">
        <v>3523</v>
      </c>
      <c r="N156" s="15"/>
      <c r="O156" s="14"/>
      <c r="P156">
        <v>155</v>
      </c>
    </row>
    <row r="157" spans="1:16" x14ac:dyDescent="0.3">
      <c r="A157">
        <v>156</v>
      </c>
      <c r="B157" s="14" t="s">
        <v>2377</v>
      </c>
      <c r="C157" s="14" t="s">
        <v>230</v>
      </c>
      <c r="D157" s="14" t="s">
        <v>3490</v>
      </c>
      <c r="E157" s="14" t="s">
        <v>1118</v>
      </c>
      <c r="F157" s="14" t="s">
        <v>1237</v>
      </c>
      <c r="G157" s="14" t="s">
        <v>1660</v>
      </c>
      <c r="H157" s="14"/>
      <c r="I157" t="s">
        <v>728</v>
      </c>
      <c r="J157" s="14" t="s">
        <v>72</v>
      </c>
      <c r="K157" s="15">
        <v>45296</v>
      </c>
      <c r="L157" s="14" t="s">
        <v>2847</v>
      </c>
      <c r="M157" t="s">
        <v>3523</v>
      </c>
      <c r="N157" s="15"/>
      <c r="O157" s="14"/>
      <c r="P157">
        <v>155</v>
      </c>
    </row>
    <row r="158" spans="1:16" x14ac:dyDescent="0.3">
      <c r="A158">
        <v>157</v>
      </c>
      <c r="B158" s="14" t="s">
        <v>2378</v>
      </c>
      <c r="C158" s="14" t="s">
        <v>231</v>
      </c>
      <c r="D158" s="14" t="s">
        <v>3490</v>
      </c>
      <c r="E158" s="14" t="s">
        <v>1118</v>
      </c>
      <c r="F158" s="14" t="s">
        <v>1143</v>
      </c>
      <c r="G158" s="14" t="s">
        <v>1661</v>
      </c>
      <c r="H158" s="14"/>
      <c r="I158" t="s">
        <v>729</v>
      </c>
      <c r="J158" s="14" t="s">
        <v>3525</v>
      </c>
      <c r="K158" s="15">
        <v>45296</v>
      </c>
      <c r="L158" s="14" t="s">
        <v>2847</v>
      </c>
      <c r="M158" t="s">
        <v>3523</v>
      </c>
      <c r="N158" s="15"/>
      <c r="O158" s="14"/>
      <c r="P158">
        <v>155</v>
      </c>
    </row>
    <row r="159" spans="1:16" x14ac:dyDescent="0.3">
      <c r="A159">
        <v>158</v>
      </c>
      <c r="B159" s="14" t="s">
        <v>2379</v>
      </c>
      <c r="C159" s="14" t="s">
        <v>232</v>
      </c>
      <c r="D159" s="14" t="s">
        <v>3490</v>
      </c>
      <c r="E159" s="14" t="s">
        <v>1113</v>
      </c>
      <c r="F159" s="14" t="s">
        <v>1238</v>
      </c>
      <c r="G159" s="14" t="s">
        <v>1662</v>
      </c>
      <c r="H159" s="14"/>
      <c r="I159" t="s">
        <v>730</v>
      </c>
      <c r="J159" s="14" t="s">
        <v>35</v>
      </c>
      <c r="K159" s="15">
        <v>45296</v>
      </c>
      <c r="L159" s="14" t="s">
        <v>2847</v>
      </c>
      <c r="M159" t="s">
        <v>3500</v>
      </c>
      <c r="N159" s="15">
        <v>45406</v>
      </c>
      <c r="O159" s="14"/>
      <c r="P159">
        <v>155</v>
      </c>
    </row>
    <row r="160" spans="1:16" x14ac:dyDescent="0.3">
      <c r="A160">
        <v>159</v>
      </c>
      <c r="B160" s="14" t="s">
        <v>2380</v>
      </c>
      <c r="C160" s="14" t="s">
        <v>233</v>
      </c>
      <c r="D160" s="14" t="s">
        <v>3490</v>
      </c>
      <c r="E160" s="14" t="s">
        <v>1118</v>
      </c>
      <c r="F160" s="14" t="s">
        <v>1230</v>
      </c>
      <c r="G160" s="14" t="s">
        <v>1663</v>
      </c>
      <c r="H160" s="14"/>
      <c r="I160" t="s">
        <v>731</v>
      </c>
      <c r="J160" s="14" t="s">
        <v>3525</v>
      </c>
      <c r="K160" s="15">
        <v>45296</v>
      </c>
      <c r="L160" s="14" t="s">
        <v>2847</v>
      </c>
      <c r="M160" t="s">
        <v>3523</v>
      </c>
      <c r="N160" s="15"/>
      <c r="O160" s="14"/>
      <c r="P160">
        <v>155</v>
      </c>
    </row>
    <row r="161" spans="1:16" x14ac:dyDescent="0.3">
      <c r="A161">
        <v>160</v>
      </c>
      <c r="B161" s="14" t="s">
        <v>2381</v>
      </c>
      <c r="C161" s="14" t="s">
        <v>2138</v>
      </c>
      <c r="D161" s="14" t="s">
        <v>3490</v>
      </c>
      <c r="E161" s="14" t="s">
        <v>1118</v>
      </c>
      <c r="F161" s="14" t="s">
        <v>1239</v>
      </c>
      <c r="G161" s="14" t="s">
        <v>1664</v>
      </c>
      <c r="H161" s="14"/>
      <c r="I161" t="s">
        <v>732</v>
      </c>
      <c r="J161" s="14" t="s">
        <v>3525</v>
      </c>
      <c r="K161" s="15">
        <v>45296</v>
      </c>
      <c r="L161" s="14" t="s">
        <v>2847</v>
      </c>
      <c r="M161" t="s">
        <v>3523</v>
      </c>
      <c r="N161" s="15"/>
      <c r="O161" s="14"/>
      <c r="P161">
        <v>155</v>
      </c>
    </row>
    <row r="162" spans="1:16" x14ac:dyDescent="0.3">
      <c r="A162">
        <v>161</v>
      </c>
      <c r="B162" s="14" t="s">
        <v>2382</v>
      </c>
      <c r="C162" s="14" t="s">
        <v>2139</v>
      </c>
      <c r="D162" s="14" t="s">
        <v>3490</v>
      </c>
      <c r="E162" s="14" t="s">
        <v>1118</v>
      </c>
      <c r="F162" s="14" t="s">
        <v>1240</v>
      </c>
      <c r="G162" s="14" t="s">
        <v>1665</v>
      </c>
      <c r="H162" s="14" t="s">
        <v>2052</v>
      </c>
      <c r="I162" t="s">
        <v>733</v>
      </c>
      <c r="J162" s="14" t="s">
        <v>3525</v>
      </c>
      <c r="K162" s="15">
        <v>45296</v>
      </c>
      <c r="L162" s="14" t="s">
        <v>2847</v>
      </c>
      <c r="M162" t="s">
        <v>3523</v>
      </c>
      <c r="N162" s="15"/>
      <c r="O162" s="14"/>
      <c r="P162">
        <v>155</v>
      </c>
    </row>
    <row r="163" spans="1:16" x14ac:dyDescent="0.3">
      <c r="A163">
        <v>162</v>
      </c>
      <c r="B163" s="14" t="s">
        <v>2383</v>
      </c>
      <c r="C163" s="14" t="s">
        <v>234</v>
      </c>
      <c r="D163" s="14" t="s">
        <v>3489</v>
      </c>
      <c r="E163" s="14" t="s">
        <v>1118</v>
      </c>
      <c r="F163" s="14" t="s">
        <v>29</v>
      </c>
      <c r="G163" s="14" t="s">
        <v>1666</v>
      </c>
      <c r="H163" s="14" t="s">
        <v>2088</v>
      </c>
      <c r="I163">
        <v>86914040</v>
      </c>
      <c r="J163" s="14" t="s">
        <v>27</v>
      </c>
      <c r="K163" s="15">
        <v>45296</v>
      </c>
      <c r="L163" s="14" t="s">
        <v>2847</v>
      </c>
      <c r="M163" t="s">
        <v>3523</v>
      </c>
      <c r="N163" s="15"/>
      <c r="O163" s="14"/>
      <c r="P163">
        <v>155</v>
      </c>
    </row>
    <row r="164" spans="1:16" x14ac:dyDescent="0.3">
      <c r="A164">
        <v>163</v>
      </c>
      <c r="B164" s="14" t="s">
        <v>2384</v>
      </c>
      <c r="C164" s="14" t="s">
        <v>235</v>
      </c>
      <c r="D164" s="14" t="s">
        <v>3489</v>
      </c>
      <c r="E164" s="14" t="s">
        <v>1114</v>
      </c>
      <c r="F164" s="14" t="s">
        <v>1241</v>
      </c>
      <c r="G164" s="14" t="s">
        <v>1667</v>
      </c>
      <c r="H164" s="14" t="s">
        <v>2068</v>
      </c>
      <c r="I164" t="s">
        <v>734</v>
      </c>
      <c r="J164" s="14" t="s">
        <v>36</v>
      </c>
      <c r="K164" s="15">
        <v>45298</v>
      </c>
      <c r="L164" s="14" t="s">
        <v>2848</v>
      </c>
      <c r="M164" t="s">
        <v>3500</v>
      </c>
      <c r="N164" s="15">
        <v>45310</v>
      </c>
      <c r="O164" s="14"/>
      <c r="P164">
        <v>153</v>
      </c>
    </row>
    <row r="165" spans="1:16" x14ac:dyDescent="0.3">
      <c r="A165">
        <v>164</v>
      </c>
      <c r="B165" s="14" t="s">
        <v>2385</v>
      </c>
      <c r="C165" s="14" t="s">
        <v>236</v>
      </c>
      <c r="D165" s="14" t="s">
        <v>3490</v>
      </c>
      <c r="E165" s="14" t="s">
        <v>1118</v>
      </c>
      <c r="F165" s="14" t="s">
        <v>1242</v>
      </c>
      <c r="G165" s="14" t="s">
        <v>1668</v>
      </c>
      <c r="H165" s="14"/>
      <c r="I165" t="s">
        <v>735</v>
      </c>
      <c r="J165" s="14" t="s">
        <v>30</v>
      </c>
      <c r="K165" s="15">
        <v>45298</v>
      </c>
      <c r="L165" s="14" t="s">
        <v>2847</v>
      </c>
      <c r="M165" t="s">
        <v>3523</v>
      </c>
      <c r="N165" s="15"/>
      <c r="O165" s="14"/>
      <c r="P165">
        <v>153</v>
      </c>
    </row>
    <row r="166" spans="1:16" x14ac:dyDescent="0.3">
      <c r="A166">
        <v>165</v>
      </c>
      <c r="B166" s="14" t="s">
        <v>2386</v>
      </c>
      <c r="C166" s="14" t="s">
        <v>2140</v>
      </c>
      <c r="D166" s="14" t="s">
        <v>3490</v>
      </c>
      <c r="E166" s="14" t="s">
        <v>1118</v>
      </c>
      <c r="F166" s="14" t="s">
        <v>1243</v>
      </c>
      <c r="G166" s="14" t="s">
        <v>1669</v>
      </c>
      <c r="H166" s="14"/>
      <c r="I166" t="s">
        <v>736</v>
      </c>
      <c r="J166" s="14" t="s">
        <v>3525</v>
      </c>
      <c r="K166" s="15">
        <v>45298</v>
      </c>
      <c r="L166" s="14" t="s">
        <v>2847</v>
      </c>
      <c r="M166" t="s">
        <v>3523</v>
      </c>
      <c r="N166" s="15"/>
      <c r="O166" s="14"/>
      <c r="P166">
        <v>153</v>
      </c>
    </row>
    <row r="167" spans="1:16" x14ac:dyDescent="0.3">
      <c r="A167">
        <v>166</v>
      </c>
      <c r="B167" s="14" t="s">
        <v>2387</v>
      </c>
      <c r="C167" s="14" t="s">
        <v>237</v>
      </c>
      <c r="D167" s="14" t="s">
        <v>3490</v>
      </c>
      <c r="E167" s="14" t="s">
        <v>1118</v>
      </c>
      <c r="F167" s="14" t="s">
        <v>28</v>
      </c>
      <c r="G167" s="14" t="s">
        <v>1670</v>
      </c>
      <c r="H167" s="14" t="s">
        <v>2066</v>
      </c>
      <c r="I167" t="s">
        <v>737</v>
      </c>
      <c r="J167" s="14" t="s">
        <v>27</v>
      </c>
      <c r="K167" s="15">
        <v>45299</v>
      </c>
      <c r="L167" s="14" t="s">
        <v>2847</v>
      </c>
      <c r="M167" t="s">
        <v>3501</v>
      </c>
      <c r="N167" s="15">
        <v>45313</v>
      </c>
      <c r="O167" s="14"/>
      <c r="P167">
        <v>152</v>
      </c>
    </row>
    <row r="168" spans="1:16" x14ac:dyDescent="0.3">
      <c r="A168">
        <v>167</v>
      </c>
      <c r="B168" s="14" t="s">
        <v>2388</v>
      </c>
      <c r="C168" s="14" t="s">
        <v>238</v>
      </c>
      <c r="D168" s="14" t="s">
        <v>3490</v>
      </c>
      <c r="E168" s="14" t="s">
        <v>1118</v>
      </c>
      <c r="F168" s="14" t="s">
        <v>1244</v>
      </c>
      <c r="G168" s="14" t="s">
        <v>1671</v>
      </c>
      <c r="H168" s="14"/>
      <c r="I168" t="s">
        <v>738</v>
      </c>
      <c r="J168" s="14" t="s">
        <v>3525</v>
      </c>
      <c r="K168" s="15">
        <v>45299</v>
      </c>
      <c r="L168" s="14" t="s">
        <v>2847</v>
      </c>
      <c r="M168" t="s">
        <v>3524</v>
      </c>
      <c r="N168" s="15"/>
      <c r="O168" s="14" t="s">
        <v>3521</v>
      </c>
    </row>
    <row r="169" spans="1:16" x14ac:dyDescent="0.3">
      <c r="A169">
        <v>168</v>
      </c>
      <c r="B169" s="14" t="s">
        <v>2389</v>
      </c>
      <c r="C169" s="14" t="s">
        <v>2141</v>
      </c>
      <c r="D169" s="14" t="s">
        <v>3490</v>
      </c>
      <c r="E169" s="14" t="s">
        <v>1113</v>
      </c>
      <c r="F169" s="14" t="s">
        <v>1245</v>
      </c>
      <c r="G169" s="14" t="s">
        <v>1672</v>
      </c>
      <c r="H169" s="14"/>
      <c r="I169" t="s">
        <v>739</v>
      </c>
      <c r="J169" s="14" t="s">
        <v>30</v>
      </c>
      <c r="K169" s="15">
        <v>45299</v>
      </c>
      <c r="L169" s="14" t="s">
        <v>2847</v>
      </c>
      <c r="M169" t="s">
        <v>3523</v>
      </c>
      <c r="N169" s="15"/>
      <c r="O169" s="14"/>
      <c r="P169">
        <v>152</v>
      </c>
    </row>
    <row r="170" spans="1:16" x14ac:dyDescent="0.3">
      <c r="A170">
        <v>169</v>
      </c>
      <c r="B170" s="14" t="s">
        <v>2390</v>
      </c>
      <c r="C170" s="14" t="s">
        <v>239</v>
      </c>
      <c r="D170" s="14" t="s">
        <v>3489</v>
      </c>
      <c r="E170" s="14" t="s">
        <v>1118</v>
      </c>
      <c r="F170" s="14" t="s">
        <v>1246</v>
      </c>
      <c r="G170" s="14" t="s">
        <v>1673</v>
      </c>
      <c r="H170" s="14" t="s">
        <v>2052</v>
      </c>
      <c r="I170" t="s">
        <v>740</v>
      </c>
      <c r="J170" s="14" t="s">
        <v>27</v>
      </c>
      <c r="K170" s="15">
        <v>45299</v>
      </c>
      <c r="L170" s="14" t="s">
        <v>2847</v>
      </c>
      <c r="M170" t="s">
        <v>3523</v>
      </c>
      <c r="N170" s="15"/>
      <c r="O170" s="14"/>
      <c r="P170">
        <v>152</v>
      </c>
    </row>
    <row r="171" spans="1:16" x14ac:dyDescent="0.3">
      <c r="A171">
        <v>170</v>
      </c>
      <c r="B171" s="14" t="s">
        <v>2391</v>
      </c>
      <c r="C171" s="14" t="s">
        <v>2142</v>
      </c>
      <c r="D171" s="14" t="s">
        <v>3490</v>
      </c>
      <c r="E171" s="14" t="s">
        <v>1113</v>
      </c>
      <c r="F171" s="14" t="s">
        <v>1247</v>
      </c>
      <c r="G171" s="14" t="s">
        <v>1635</v>
      </c>
      <c r="H171" s="14"/>
      <c r="I171" t="s">
        <v>741</v>
      </c>
      <c r="J171" s="14" t="s">
        <v>30</v>
      </c>
      <c r="K171" s="15">
        <v>45299</v>
      </c>
      <c r="L171" s="14" t="s">
        <v>2847</v>
      </c>
      <c r="M171" t="s">
        <v>3523</v>
      </c>
      <c r="N171" s="15"/>
      <c r="O171" s="14"/>
      <c r="P171">
        <v>152</v>
      </c>
    </row>
    <row r="172" spans="1:16" x14ac:dyDescent="0.3">
      <c r="A172">
        <v>171</v>
      </c>
      <c r="B172" s="14" t="s">
        <v>2392</v>
      </c>
      <c r="C172" s="14" t="s">
        <v>2143</v>
      </c>
      <c r="D172" s="14" t="s">
        <v>3489</v>
      </c>
      <c r="E172" s="14" t="s">
        <v>1113</v>
      </c>
      <c r="F172" s="14" t="s">
        <v>1245</v>
      </c>
      <c r="G172" s="14" t="s">
        <v>1674</v>
      </c>
      <c r="H172" s="14" t="s">
        <v>2052</v>
      </c>
      <c r="I172" t="s">
        <v>742</v>
      </c>
      <c r="J172" s="14" t="s">
        <v>30</v>
      </c>
      <c r="K172" s="15">
        <v>45300</v>
      </c>
      <c r="L172" s="14" t="s">
        <v>2847</v>
      </c>
      <c r="M172" t="s">
        <v>3523</v>
      </c>
      <c r="N172" s="15"/>
      <c r="O172" s="14"/>
      <c r="P172">
        <v>151</v>
      </c>
    </row>
    <row r="173" spans="1:16" x14ac:dyDescent="0.3">
      <c r="A173">
        <v>172</v>
      </c>
      <c r="B173" s="14" t="s">
        <v>2393</v>
      </c>
      <c r="C173" s="14" t="s">
        <v>240</v>
      </c>
      <c r="D173" s="14" t="s">
        <v>3490</v>
      </c>
      <c r="E173" s="14" t="s">
        <v>1118</v>
      </c>
      <c r="F173" s="14" t="s">
        <v>42</v>
      </c>
      <c r="G173" s="14"/>
      <c r="H173" s="14"/>
      <c r="I173" t="s">
        <v>743</v>
      </c>
      <c r="J173" s="14" t="s">
        <v>30</v>
      </c>
      <c r="K173" s="15">
        <v>45300</v>
      </c>
      <c r="L173" s="14" t="s">
        <v>2847</v>
      </c>
      <c r="M173" t="s">
        <v>3523</v>
      </c>
      <c r="N173" s="15"/>
      <c r="O173" s="14"/>
      <c r="P173">
        <v>151</v>
      </c>
    </row>
    <row r="174" spans="1:16" x14ac:dyDescent="0.3">
      <c r="A174">
        <v>173</v>
      </c>
      <c r="B174" s="14" t="s">
        <v>2394</v>
      </c>
      <c r="C174" s="14" t="s">
        <v>2144</v>
      </c>
      <c r="D174" s="14"/>
      <c r="E174" s="14" t="s">
        <v>1118</v>
      </c>
      <c r="F174" s="14" t="s">
        <v>1248</v>
      </c>
      <c r="G174" s="14" t="s">
        <v>1675</v>
      </c>
      <c r="H174" s="14"/>
      <c r="I174" t="s">
        <v>744</v>
      </c>
      <c r="J174" s="14" t="s">
        <v>72</v>
      </c>
      <c r="K174" s="15">
        <v>45300</v>
      </c>
      <c r="L174" s="14" t="s">
        <v>2847</v>
      </c>
      <c r="M174" t="s">
        <v>3523</v>
      </c>
      <c r="N174" s="15"/>
      <c r="O174" s="14"/>
      <c r="P174">
        <v>151</v>
      </c>
    </row>
    <row r="175" spans="1:16" x14ac:dyDescent="0.3">
      <c r="A175">
        <v>174</v>
      </c>
      <c r="B175" s="14" t="s">
        <v>2395</v>
      </c>
      <c r="C175" s="14" t="s">
        <v>2145</v>
      </c>
      <c r="D175" s="14" t="s">
        <v>3489</v>
      </c>
      <c r="E175" s="14" t="s">
        <v>1118</v>
      </c>
      <c r="F175" s="14" t="s">
        <v>1249</v>
      </c>
      <c r="G175" s="14" t="s">
        <v>1676</v>
      </c>
      <c r="H175" s="14"/>
      <c r="I175" t="s">
        <v>745</v>
      </c>
      <c r="J175" s="14" t="s">
        <v>64</v>
      </c>
      <c r="K175" s="15">
        <v>45300</v>
      </c>
      <c r="L175" s="14" t="s">
        <v>2847</v>
      </c>
      <c r="M175" t="s">
        <v>3523</v>
      </c>
      <c r="N175" s="15"/>
      <c r="O175" s="14"/>
      <c r="P175">
        <v>151</v>
      </c>
    </row>
    <row r="176" spans="1:16" x14ac:dyDescent="0.3">
      <c r="A176">
        <v>175</v>
      </c>
      <c r="B176" s="14" t="s">
        <v>2396</v>
      </c>
      <c r="C176" s="14" t="s">
        <v>2146</v>
      </c>
      <c r="D176" s="14" t="s">
        <v>3489</v>
      </c>
      <c r="E176" s="14" t="s">
        <v>1118</v>
      </c>
      <c r="F176" s="14" t="s">
        <v>1186</v>
      </c>
      <c r="G176" s="14" t="s">
        <v>1677</v>
      </c>
      <c r="H176" s="14"/>
      <c r="I176" t="s">
        <v>746</v>
      </c>
      <c r="J176" s="14" t="s">
        <v>30</v>
      </c>
      <c r="K176" s="15">
        <v>45301</v>
      </c>
      <c r="L176" s="14" t="s">
        <v>2847</v>
      </c>
      <c r="M176" t="s">
        <v>3523</v>
      </c>
      <c r="N176" s="15"/>
      <c r="O176" s="14"/>
      <c r="P176">
        <v>150</v>
      </c>
    </row>
    <row r="177" spans="1:16" x14ac:dyDescent="0.3">
      <c r="A177">
        <v>176</v>
      </c>
      <c r="B177" s="14" t="s">
        <v>2397</v>
      </c>
      <c r="C177" s="14" t="s">
        <v>241</v>
      </c>
      <c r="D177" s="14" t="s">
        <v>3490</v>
      </c>
      <c r="E177" s="14" t="s">
        <v>1118</v>
      </c>
      <c r="F177" s="14" t="s">
        <v>1250</v>
      </c>
      <c r="G177" s="14" t="s">
        <v>1678</v>
      </c>
      <c r="H177" s="14"/>
      <c r="I177" t="s">
        <v>747</v>
      </c>
      <c r="J177" s="14" t="s">
        <v>30</v>
      </c>
      <c r="K177" s="15">
        <v>45301</v>
      </c>
      <c r="L177" s="14" t="s">
        <v>2847</v>
      </c>
      <c r="M177" t="s">
        <v>3523</v>
      </c>
      <c r="N177" s="15"/>
      <c r="O177" s="14"/>
      <c r="P177">
        <v>150</v>
      </c>
    </row>
    <row r="178" spans="1:16" x14ac:dyDescent="0.3">
      <c r="A178">
        <v>177</v>
      </c>
      <c r="B178" s="14" t="s">
        <v>2398</v>
      </c>
      <c r="C178" s="14" t="s">
        <v>2147</v>
      </c>
      <c r="D178" s="14" t="s">
        <v>3489</v>
      </c>
      <c r="E178" s="14" t="s">
        <v>1118</v>
      </c>
      <c r="F178" s="14" t="s">
        <v>1186</v>
      </c>
      <c r="G178" s="14" t="s">
        <v>1679</v>
      </c>
      <c r="H178" s="14"/>
      <c r="I178" t="s">
        <v>748</v>
      </c>
      <c r="J178" s="14" t="s">
        <v>30</v>
      </c>
      <c r="K178" s="15">
        <v>45301</v>
      </c>
      <c r="L178" s="14" t="s">
        <v>2847</v>
      </c>
      <c r="M178" t="s">
        <v>3523</v>
      </c>
      <c r="N178" s="15"/>
      <c r="O178" s="14"/>
      <c r="P178">
        <v>150</v>
      </c>
    </row>
    <row r="179" spans="1:16" x14ac:dyDescent="0.3">
      <c r="A179">
        <v>178</v>
      </c>
      <c r="B179" s="14" t="s">
        <v>2399</v>
      </c>
      <c r="C179" s="14" t="s">
        <v>2148</v>
      </c>
      <c r="D179" s="14" t="s">
        <v>3490</v>
      </c>
      <c r="E179" s="14" t="s">
        <v>1118</v>
      </c>
      <c r="F179" s="14" t="s">
        <v>1166</v>
      </c>
      <c r="G179" s="14" t="s">
        <v>1680</v>
      </c>
      <c r="H179" s="14"/>
      <c r="I179" t="s">
        <v>749</v>
      </c>
      <c r="J179" s="14" t="s">
        <v>30</v>
      </c>
      <c r="K179" s="15">
        <v>45301</v>
      </c>
      <c r="L179" s="14" t="s">
        <v>2847</v>
      </c>
      <c r="M179" t="s">
        <v>3523</v>
      </c>
      <c r="N179" s="15"/>
      <c r="O179" s="14"/>
      <c r="P179">
        <v>150</v>
      </c>
    </row>
    <row r="180" spans="1:16" x14ac:dyDescent="0.3">
      <c r="A180">
        <v>179</v>
      </c>
      <c r="B180" s="14" t="s">
        <v>2400</v>
      </c>
      <c r="C180" s="14" t="s">
        <v>2149</v>
      </c>
      <c r="D180" s="14" t="s">
        <v>3490</v>
      </c>
      <c r="E180" s="14" t="s">
        <v>1113</v>
      </c>
      <c r="F180" s="14" t="s">
        <v>1251</v>
      </c>
      <c r="G180" s="14" t="s">
        <v>1681</v>
      </c>
      <c r="H180" s="14"/>
      <c r="I180" t="s">
        <v>750</v>
      </c>
      <c r="J180" s="14" t="s">
        <v>1213</v>
      </c>
      <c r="K180" s="15">
        <v>45301</v>
      </c>
      <c r="L180" s="14" t="s">
        <v>2847</v>
      </c>
      <c r="M180" t="s">
        <v>3523</v>
      </c>
      <c r="N180" s="15"/>
      <c r="O180" s="14"/>
      <c r="P180">
        <v>150</v>
      </c>
    </row>
    <row r="181" spans="1:16" x14ac:dyDescent="0.3">
      <c r="A181">
        <v>180</v>
      </c>
      <c r="B181" s="14" t="s">
        <v>2401</v>
      </c>
      <c r="C181" s="14" t="s">
        <v>2150</v>
      </c>
      <c r="D181" s="14" t="s">
        <v>3490</v>
      </c>
      <c r="E181" s="14" t="s">
        <v>1118</v>
      </c>
      <c r="F181" s="14" t="s">
        <v>1252</v>
      </c>
      <c r="G181" s="14" t="s">
        <v>1682</v>
      </c>
      <c r="H181" s="14"/>
      <c r="I181" t="s">
        <v>751</v>
      </c>
      <c r="J181" s="14" t="s">
        <v>3525</v>
      </c>
      <c r="K181" s="15">
        <v>45302</v>
      </c>
      <c r="L181" s="14" t="s">
        <v>2847</v>
      </c>
      <c r="M181" t="s">
        <v>3523</v>
      </c>
      <c r="N181" s="15"/>
      <c r="O181" s="14"/>
      <c r="P181">
        <v>149</v>
      </c>
    </row>
    <row r="182" spans="1:16" x14ac:dyDescent="0.3">
      <c r="A182">
        <v>181</v>
      </c>
      <c r="B182" s="14" t="s">
        <v>2402</v>
      </c>
      <c r="C182" s="14" t="s">
        <v>242</v>
      </c>
      <c r="D182" s="14" t="s">
        <v>3489</v>
      </c>
      <c r="E182" s="14" t="s">
        <v>1118</v>
      </c>
      <c r="F182" s="14" t="s">
        <v>1253</v>
      </c>
      <c r="G182" s="14" t="s">
        <v>1683</v>
      </c>
      <c r="H182" s="14" t="s">
        <v>2052</v>
      </c>
      <c r="I182" t="s">
        <v>752</v>
      </c>
      <c r="J182" s="14" t="s">
        <v>27</v>
      </c>
      <c r="K182" s="15">
        <v>45302</v>
      </c>
      <c r="L182" s="14" t="s">
        <v>2847</v>
      </c>
      <c r="M182" t="s">
        <v>3523</v>
      </c>
      <c r="N182" s="15"/>
      <c r="O182" s="14"/>
      <c r="P182">
        <v>149</v>
      </c>
    </row>
    <row r="183" spans="1:16" x14ac:dyDescent="0.3">
      <c r="A183">
        <v>182</v>
      </c>
      <c r="B183" s="14" t="s">
        <v>2403</v>
      </c>
      <c r="C183" s="14" t="s">
        <v>2151</v>
      </c>
      <c r="D183" s="14" t="s">
        <v>3490</v>
      </c>
      <c r="E183" s="14" t="s">
        <v>1118</v>
      </c>
      <c r="F183" s="14" t="s">
        <v>1254</v>
      </c>
      <c r="G183" s="14" t="s">
        <v>1684</v>
      </c>
      <c r="H183" s="14" t="s">
        <v>2052</v>
      </c>
      <c r="I183" t="s">
        <v>753</v>
      </c>
      <c r="J183" s="14" t="s">
        <v>3525</v>
      </c>
      <c r="K183" s="15">
        <v>45302</v>
      </c>
      <c r="L183" s="14" t="s">
        <v>2847</v>
      </c>
      <c r="M183" t="s">
        <v>3523</v>
      </c>
      <c r="N183" s="15"/>
      <c r="O183" s="14"/>
      <c r="P183">
        <v>149</v>
      </c>
    </row>
    <row r="184" spans="1:16" x14ac:dyDescent="0.3">
      <c r="A184">
        <v>183</v>
      </c>
      <c r="B184" s="14" t="s">
        <v>2404</v>
      </c>
      <c r="C184" s="14" t="s">
        <v>2152</v>
      </c>
      <c r="D184" s="14" t="s">
        <v>3489</v>
      </c>
      <c r="E184" s="14" t="s">
        <v>1118</v>
      </c>
      <c r="F184" s="14" t="s">
        <v>1186</v>
      </c>
      <c r="G184" s="14" t="s">
        <v>1685</v>
      </c>
      <c r="H184" s="14"/>
      <c r="I184" t="s">
        <v>754</v>
      </c>
      <c r="J184" s="14" t="s">
        <v>30</v>
      </c>
      <c r="K184" s="15">
        <v>45302</v>
      </c>
      <c r="L184" s="14" t="s">
        <v>2847</v>
      </c>
      <c r="M184" t="s">
        <v>3523</v>
      </c>
      <c r="N184" s="15"/>
      <c r="O184" s="14"/>
      <c r="P184">
        <v>149</v>
      </c>
    </row>
    <row r="185" spans="1:16" x14ac:dyDescent="0.3">
      <c r="A185">
        <v>184</v>
      </c>
      <c r="B185" s="14" t="s">
        <v>2405</v>
      </c>
      <c r="C185" s="14" t="s">
        <v>243</v>
      </c>
      <c r="D185" s="14" t="s">
        <v>3490</v>
      </c>
      <c r="E185" s="14" t="s">
        <v>1118</v>
      </c>
      <c r="F185" s="14" t="s">
        <v>1213</v>
      </c>
      <c r="G185" s="14" t="s">
        <v>1686</v>
      </c>
      <c r="H185" s="14" t="s">
        <v>2066</v>
      </c>
      <c r="J185" s="14" t="s">
        <v>1213</v>
      </c>
      <c r="K185" s="15">
        <v>45303</v>
      </c>
      <c r="L185" s="14" t="s">
        <v>2847</v>
      </c>
      <c r="M185" t="s">
        <v>3500</v>
      </c>
      <c r="N185" s="15">
        <v>45322</v>
      </c>
      <c r="O185" s="14" t="s">
        <v>3521</v>
      </c>
      <c r="P185">
        <v>19</v>
      </c>
    </row>
    <row r="186" spans="1:16" x14ac:dyDescent="0.3">
      <c r="A186">
        <v>185</v>
      </c>
      <c r="B186" s="14" t="s">
        <v>2406</v>
      </c>
      <c r="C186" s="14" t="s">
        <v>244</v>
      </c>
      <c r="D186" s="14" t="s">
        <v>3490</v>
      </c>
      <c r="E186" s="14" t="s">
        <v>1118</v>
      </c>
      <c r="F186" s="14" t="s">
        <v>1255</v>
      </c>
      <c r="G186" s="14" t="s">
        <v>1687</v>
      </c>
      <c r="H186" s="14" t="s">
        <v>2052</v>
      </c>
      <c r="I186" t="s">
        <v>2842</v>
      </c>
      <c r="J186" s="14" t="s">
        <v>20</v>
      </c>
      <c r="K186" s="15">
        <v>45303</v>
      </c>
      <c r="L186" s="14" t="s">
        <v>2847</v>
      </c>
      <c r="M186" t="s">
        <v>3523</v>
      </c>
      <c r="N186" s="15"/>
      <c r="O186" s="14"/>
      <c r="P186">
        <v>148</v>
      </c>
    </row>
    <row r="187" spans="1:16" x14ac:dyDescent="0.3">
      <c r="A187">
        <v>186</v>
      </c>
      <c r="B187" s="14" t="s">
        <v>2407</v>
      </c>
      <c r="C187" s="14" t="s">
        <v>2153</v>
      </c>
      <c r="D187" s="14" t="s">
        <v>3490</v>
      </c>
      <c r="E187" s="14" t="s">
        <v>1115</v>
      </c>
      <c r="F187" s="14" t="s">
        <v>1256</v>
      </c>
      <c r="G187" s="14" t="s">
        <v>1688</v>
      </c>
      <c r="H187" s="14"/>
      <c r="I187" t="s">
        <v>755</v>
      </c>
      <c r="J187" s="14" t="s">
        <v>1213</v>
      </c>
      <c r="K187" s="15">
        <v>45303</v>
      </c>
      <c r="L187" s="14" t="s">
        <v>2847</v>
      </c>
      <c r="M187" t="s">
        <v>3523</v>
      </c>
      <c r="N187" s="15"/>
      <c r="O187" s="14"/>
      <c r="P187">
        <v>148</v>
      </c>
    </row>
    <row r="188" spans="1:16" x14ac:dyDescent="0.3">
      <c r="A188">
        <v>187</v>
      </c>
      <c r="B188" s="14" t="s">
        <v>2408</v>
      </c>
      <c r="C188" s="14" t="s">
        <v>2154</v>
      </c>
      <c r="D188" s="14" t="s">
        <v>3490</v>
      </c>
      <c r="E188" s="14" t="s">
        <v>1118</v>
      </c>
      <c r="F188" s="14" t="s">
        <v>1257</v>
      </c>
      <c r="G188" s="14" t="s">
        <v>1689</v>
      </c>
      <c r="H188" s="14" t="s">
        <v>2052</v>
      </c>
      <c r="I188" t="s">
        <v>756</v>
      </c>
      <c r="J188" s="14" t="s">
        <v>30</v>
      </c>
      <c r="K188" s="15">
        <v>45303</v>
      </c>
      <c r="L188" s="14" t="s">
        <v>2847</v>
      </c>
      <c r="M188" t="s">
        <v>3523</v>
      </c>
      <c r="N188" s="15"/>
      <c r="O188" s="14"/>
      <c r="P188">
        <v>148</v>
      </c>
    </row>
    <row r="189" spans="1:16" x14ac:dyDescent="0.3">
      <c r="A189">
        <v>188</v>
      </c>
      <c r="B189" s="14" t="s">
        <v>2409</v>
      </c>
      <c r="C189" s="14" t="s">
        <v>245</v>
      </c>
      <c r="D189" s="14" t="s">
        <v>3490</v>
      </c>
      <c r="E189" s="14" t="s">
        <v>1118</v>
      </c>
      <c r="F189" s="14" t="s">
        <v>1258</v>
      </c>
      <c r="G189" s="14" t="s">
        <v>1690</v>
      </c>
      <c r="H189" s="14"/>
      <c r="I189" t="s">
        <v>757</v>
      </c>
      <c r="J189" s="14" t="s">
        <v>30</v>
      </c>
      <c r="K189" s="15">
        <v>45304</v>
      </c>
      <c r="L189" s="14" t="s">
        <v>2847</v>
      </c>
      <c r="M189" t="s">
        <v>3523</v>
      </c>
      <c r="N189" s="15"/>
      <c r="O189" s="14"/>
      <c r="P189">
        <v>147</v>
      </c>
    </row>
    <row r="190" spans="1:16" x14ac:dyDescent="0.3">
      <c r="A190">
        <v>189</v>
      </c>
      <c r="B190" s="14" t="s">
        <v>2410</v>
      </c>
      <c r="C190" s="14" t="s">
        <v>246</v>
      </c>
      <c r="D190" s="14" t="s">
        <v>3490</v>
      </c>
      <c r="E190" s="14" t="s">
        <v>1118</v>
      </c>
      <c r="F190" s="14" t="s">
        <v>1259</v>
      </c>
      <c r="G190" s="14" t="s">
        <v>1691</v>
      </c>
      <c r="H190" s="14" t="s">
        <v>2061</v>
      </c>
      <c r="J190" s="14" t="s">
        <v>36</v>
      </c>
      <c r="K190" s="15">
        <v>45306</v>
      </c>
      <c r="L190" s="14" t="s">
        <v>2848</v>
      </c>
      <c r="M190" t="s">
        <v>3500</v>
      </c>
      <c r="N190" s="15">
        <v>45320</v>
      </c>
      <c r="O190" s="14"/>
      <c r="P190">
        <v>145</v>
      </c>
    </row>
    <row r="191" spans="1:16" x14ac:dyDescent="0.3">
      <c r="A191">
        <v>190</v>
      </c>
      <c r="B191" s="14" t="s">
        <v>2411</v>
      </c>
      <c r="C191" s="14" t="s">
        <v>247</v>
      </c>
      <c r="D191" s="14" t="s">
        <v>3490</v>
      </c>
      <c r="E191" s="14" t="s">
        <v>1118</v>
      </c>
      <c r="F191" s="14" t="s">
        <v>1202</v>
      </c>
      <c r="G191" s="14" t="s">
        <v>1692</v>
      </c>
      <c r="H191" s="14"/>
      <c r="I191" t="s">
        <v>758</v>
      </c>
      <c r="J191" s="14" t="s">
        <v>30</v>
      </c>
      <c r="K191" s="15">
        <v>45306</v>
      </c>
      <c r="L191" s="14" t="s">
        <v>2847</v>
      </c>
      <c r="M191" t="s">
        <v>3523</v>
      </c>
      <c r="N191" s="15"/>
      <c r="O191" s="14"/>
      <c r="P191">
        <v>145</v>
      </c>
    </row>
    <row r="192" spans="1:16" x14ac:dyDescent="0.3">
      <c r="A192">
        <v>191</v>
      </c>
      <c r="B192" s="14" t="s">
        <v>2412</v>
      </c>
      <c r="C192" s="14" t="s">
        <v>248</v>
      </c>
      <c r="D192" s="14" t="s">
        <v>3490</v>
      </c>
      <c r="E192" s="14" t="s">
        <v>1118</v>
      </c>
      <c r="F192" s="14" t="s">
        <v>1260</v>
      </c>
      <c r="G192" s="14" t="s">
        <v>1693</v>
      </c>
      <c r="H192" s="14"/>
      <c r="I192" t="s">
        <v>759</v>
      </c>
      <c r="J192" s="14" t="s">
        <v>1213</v>
      </c>
      <c r="K192" s="15">
        <v>45306</v>
      </c>
      <c r="L192" s="14" t="s">
        <v>2847</v>
      </c>
      <c r="M192" t="s">
        <v>3523</v>
      </c>
      <c r="N192" s="15"/>
      <c r="O192" s="14"/>
      <c r="P192">
        <v>145</v>
      </c>
    </row>
    <row r="193" spans="1:16" x14ac:dyDescent="0.3">
      <c r="A193">
        <v>192</v>
      </c>
      <c r="B193" s="14" t="s">
        <v>2413</v>
      </c>
      <c r="C193" s="14" t="s">
        <v>249</v>
      </c>
      <c r="D193" s="14" t="s">
        <v>3490</v>
      </c>
      <c r="E193" s="14" t="s">
        <v>1118</v>
      </c>
      <c r="F193" s="14" t="s">
        <v>1261</v>
      </c>
      <c r="G193" s="14" t="s">
        <v>1694</v>
      </c>
      <c r="H193" s="14" t="s">
        <v>2052</v>
      </c>
      <c r="I193" t="s">
        <v>760</v>
      </c>
      <c r="J193" s="14" t="s">
        <v>30</v>
      </c>
      <c r="K193" s="15">
        <v>45306</v>
      </c>
      <c r="L193" s="14" t="s">
        <v>2847</v>
      </c>
      <c r="M193" t="s">
        <v>3523</v>
      </c>
      <c r="N193" s="15"/>
      <c r="O193" s="14"/>
      <c r="P193">
        <v>145</v>
      </c>
    </row>
    <row r="194" spans="1:16" x14ac:dyDescent="0.3">
      <c r="A194">
        <v>193</v>
      </c>
      <c r="B194" s="14" t="s">
        <v>2414</v>
      </c>
      <c r="C194" s="14" t="s">
        <v>2155</v>
      </c>
      <c r="D194" s="14" t="s">
        <v>3490</v>
      </c>
      <c r="E194" s="14" t="s">
        <v>1118</v>
      </c>
      <c r="F194" s="14" t="s">
        <v>1262</v>
      </c>
      <c r="G194" s="14" t="s">
        <v>1695</v>
      </c>
      <c r="H194" s="14" t="s">
        <v>2052</v>
      </c>
      <c r="I194" t="s">
        <v>761</v>
      </c>
      <c r="J194" s="14" t="s">
        <v>30</v>
      </c>
      <c r="K194" s="15">
        <v>45306</v>
      </c>
      <c r="L194" s="14" t="s">
        <v>2847</v>
      </c>
      <c r="M194" t="s">
        <v>3523</v>
      </c>
      <c r="N194" s="15"/>
      <c r="O194" s="14"/>
      <c r="P194">
        <v>145</v>
      </c>
    </row>
    <row r="195" spans="1:16" x14ac:dyDescent="0.3">
      <c r="A195">
        <v>194</v>
      </c>
      <c r="B195" s="14" t="s">
        <v>2415</v>
      </c>
      <c r="C195" s="14" t="s">
        <v>2156</v>
      </c>
      <c r="D195" s="14" t="s">
        <v>3490</v>
      </c>
      <c r="E195" s="14" t="s">
        <v>1118</v>
      </c>
      <c r="F195" s="14" t="s">
        <v>1263</v>
      </c>
      <c r="G195" s="14" t="s">
        <v>1696</v>
      </c>
      <c r="H195" s="14"/>
      <c r="I195" t="s">
        <v>762</v>
      </c>
      <c r="J195" s="14" t="s">
        <v>33</v>
      </c>
      <c r="K195" s="15">
        <v>45307</v>
      </c>
      <c r="L195" s="14" t="s">
        <v>2847</v>
      </c>
      <c r="M195" t="s">
        <v>3523</v>
      </c>
      <c r="N195" s="15"/>
      <c r="O195" s="14"/>
      <c r="P195">
        <v>144</v>
      </c>
    </row>
    <row r="196" spans="1:16" x14ac:dyDescent="0.3">
      <c r="A196">
        <v>195</v>
      </c>
      <c r="B196" s="14" t="s">
        <v>2416</v>
      </c>
      <c r="C196" s="14" t="s">
        <v>2157</v>
      </c>
      <c r="D196" s="14" t="s">
        <v>3490</v>
      </c>
      <c r="E196" s="14" t="s">
        <v>1118</v>
      </c>
      <c r="F196" s="14" t="s">
        <v>1264</v>
      </c>
      <c r="G196" s="14" t="s">
        <v>1697</v>
      </c>
      <c r="H196" s="14"/>
      <c r="I196" t="s">
        <v>763</v>
      </c>
      <c r="J196" s="14" t="s">
        <v>3525</v>
      </c>
      <c r="K196" s="15">
        <v>45307</v>
      </c>
      <c r="L196" s="14" t="s">
        <v>2847</v>
      </c>
      <c r="M196" t="s">
        <v>3523</v>
      </c>
      <c r="N196" s="15"/>
      <c r="O196" s="14"/>
      <c r="P196">
        <v>144</v>
      </c>
    </row>
    <row r="197" spans="1:16" x14ac:dyDescent="0.3">
      <c r="A197">
        <v>196</v>
      </c>
      <c r="B197" s="14" t="s">
        <v>2417</v>
      </c>
      <c r="C197" s="14" t="s">
        <v>2158</v>
      </c>
      <c r="D197" s="14" t="s">
        <v>3490</v>
      </c>
      <c r="E197" s="14" t="s">
        <v>1113</v>
      </c>
      <c r="F197" s="14" t="s">
        <v>1265</v>
      </c>
      <c r="G197" s="14" t="s">
        <v>1698</v>
      </c>
      <c r="H197" s="14"/>
      <c r="I197" t="s">
        <v>764</v>
      </c>
      <c r="J197" s="14" t="s">
        <v>27</v>
      </c>
      <c r="K197" s="15">
        <v>45307</v>
      </c>
      <c r="L197" s="14" t="s">
        <v>2847</v>
      </c>
      <c r="M197" t="s">
        <v>3523</v>
      </c>
      <c r="N197" s="15"/>
      <c r="O197" s="14"/>
      <c r="P197">
        <v>144</v>
      </c>
    </row>
    <row r="198" spans="1:16" x14ac:dyDescent="0.3">
      <c r="A198">
        <v>197</v>
      </c>
      <c r="B198" s="14" t="s">
        <v>2418</v>
      </c>
      <c r="C198" s="14" t="s">
        <v>2159</v>
      </c>
      <c r="D198" s="14" t="s">
        <v>3489</v>
      </c>
      <c r="E198" s="14" t="s">
        <v>1118</v>
      </c>
      <c r="F198" s="14" t="s">
        <v>1186</v>
      </c>
      <c r="G198" s="14" t="s">
        <v>1699</v>
      </c>
      <c r="H198" s="14"/>
      <c r="I198" t="s">
        <v>765</v>
      </c>
      <c r="J198" s="14" t="s">
        <v>30</v>
      </c>
      <c r="K198" s="15">
        <v>45308</v>
      </c>
      <c r="L198" s="14" t="s">
        <v>2847</v>
      </c>
      <c r="M198" t="s">
        <v>3523</v>
      </c>
      <c r="N198" s="15"/>
      <c r="O198" s="14"/>
      <c r="P198">
        <v>143</v>
      </c>
    </row>
    <row r="199" spans="1:16" x14ac:dyDescent="0.3">
      <c r="A199">
        <v>198</v>
      </c>
      <c r="B199" s="14" t="s">
        <v>2419</v>
      </c>
      <c r="C199" s="14" t="s">
        <v>2160</v>
      </c>
      <c r="D199" s="14" t="s">
        <v>3490</v>
      </c>
      <c r="E199" s="14" t="s">
        <v>1118</v>
      </c>
      <c r="F199" s="14" t="s">
        <v>1227</v>
      </c>
      <c r="G199" s="14" t="s">
        <v>1700</v>
      </c>
      <c r="H199" s="14" t="s">
        <v>2052</v>
      </c>
      <c r="I199" t="s">
        <v>766</v>
      </c>
      <c r="J199" s="14" t="s">
        <v>30</v>
      </c>
      <c r="K199" s="15">
        <v>45308</v>
      </c>
      <c r="L199" s="14" t="s">
        <v>2847</v>
      </c>
      <c r="M199" t="s">
        <v>3523</v>
      </c>
      <c r="N199" s="15"/>
      <c r="O199" s="14"/>
      <c r="P199">
        <v>143</v>
      </c>
    </row>
    <row r="200" spans="1:16" x14ac:dyDescent="0.3">
      <c r="A200">
        <v>199</v>
      </c>
      <c r="B200" s="14" t="s">
        <v>2420</v>
      </c>
      <c r="C200" s="14" t="s">
        <v>2161</v>
      </c>
      <c r="D200" s="14" t="s">
        <v>3490</v>
      </c>
      <c r="E200" s="14" t="s">
        <v>1118</v>
      </c>
      <c r="F200" s="14" t="s">
        <v>1266</v>
      </c>
      <c r="G200" s="14" t="s">
        <v>1701</v>
      </c>
      <c r="H200" s="14"/>
      <c r="I200" t="s">
        <v>767</v>
      </c>
      <c r="J200" s="14" t="s">
        <v>30</v>
      </c>
      <c r="K200" s="15">
        <v>45308</v>
      </c>
      <c r="L200" s="14" t="s">
        <v>2847</v>
      </c>
      <c r="M200" t="s">
        <v>3523</v>
      </c>
      <c r="N200" s="15"/>
      <c r="O200" s="14"/>
      <c r="P200">
        <v>143</v>
      </c>
    </row>
    <row r="201" spans="1:16" x14ac:dyDescent="0.3">
      <c r="A201">
        <v>200</v>
      </c>
      <c r="B201" s="14" t="s">
        <v>2421</v>
      </c>
      <c r="C201" s="14" t="s">
        <v>2162</v>
      </c>
      <c r="D201" s="14" t="s">
        <v>3490</v>
      </c>
      <c r="E201" s="14" t="s">
        <v>1118</v>
      </c>
      <c r="F201" s="14" t="s">
        <v>1267</v>
      </c>
      <c r="G201" s="14" t="s">
        <v>1702</v>
      </c>
      <c r="H201" s="14"/>
      <c r="I201" t="s">
        <v>768</v>
      </c>
      <c r="J201" s="14" t="s">
        <v>30</v>
      </c>
      <c r="K201" s="15">
        <v>45310</v>
      </c>
      <c r="L201" s="14" t="s">
        <v>2847</v>
      </c>
      <c r="M201" t="s">
        <v>3523</v>
      </c>
      <c r="N201" s="15"/>
      <c r="O201" s="14"/>
      <c r="P201">
        <v>141</v>
      </c>
    </row>
    <row r="202" spans="1:16" x14ac:dyDescent="0.3">
      <c r="A202">
        <v>201</v>
      </c>
      <c r="B202" s="14" t="s">
        <v>2422</v>
      </c>
      <c r="C202" s="14" t="s">
        <v>2163</v>
      </c>
      <c r="D202" s="14" t="s">
        <v>3490</v>
      </c>
      <c r="E202" s="14" t="s">
        <v>1118</v>
      </c>
      <c r="F202" s="14" t="s">
        <v>1268</v>
      </c>
      <c r="G202" s="14" t="s">
        <v>1703</v>
      </c>
      <c r="H202" s="14"/>
      <c r="I202" t="s">
        <v>769</v>
      </c>
      <c r="J202" s="14" t="s">
        <v>33</v>
      </c>
      <c r="K202" s="15">
        <v>45310</v>
      </c>
      <c r="L202" s="14" t="s">
        <v>2847</v>
      </c>
      <c r="M202" t="s">
        <v>3523</v>
      </c>
      <c r="N202" s="15"/>
      <c r="O202" s="14"/>
      <c r="P202">
        <v>141</v>
      </c>
    </row>
    <row r="203" spans="1:16" x14ac:dyDescent="0.3">
      <c r="A203">
        <v>202</v>
      </c>
      <c r="B203" s="14" t="s">
        <v>2423</v>
      </c>
      <c r="C203" s="14" t="s">
        <v>2164</v>
      </c>
      <c r="D203" s="14" t="s">
        <v>3490</v>
      </c>
      <c r="E203" s="14" t="s">
        <v>1118</v>
      </c>
      <c r="F203" s="14" t="s">
        <v>1269</v>
      </c>
      <c r="G203" s="14" t="s">
        <v>1704</v>
      </c>
      <c r="H203" s="14"/>
      <c r="I203" t="s">
        <v>770</v>
      </c>
      <c r="J203" s="14" t="s">
        <v>72</v>
      </c>
      <c r="K203" s="15">
        <v>45310</v>
      </c>
      <c r="L203" s="14" t="s">
        <v>2847</v>
      </c>
      <c r="M203" t="s">
        <v>3523</v>
      </c>
      <c r="N203" s="15"/>
      <c r="O203" s="14"/>
      <c r="P203">
        <v>141</v>
      </c>
    </row>
    <row r="204" spans="1:16" x14ac:dyDescent="0.3">
      <c r="A204">
        <v>203</v>
      </c>
      <c r="B204" s="14" t="s">
        <v>2424</v>
      </c>
      <c r="C204" s="14" t="s">
        <v>250</v>
      </c>
      <c r="D204" s="14" t="s">
        <v>3490</v>
      </c>
      <c r="E204" s="14" t="s">
        <v>1117</v>
      </c>
      <c r="F204" s="14" t="s">
        <v>1270</v>
      </c>
      <c r="G204" s="14" t="s">
        <v>1705</v>
      </c>
      <c r="H204" s="14" t="s">
        <v>2088</v>
      </c>
      <c r="I204" t="s">
        <v>771</v>
      </c>
      <c r="J204" s="14" t="s">
        <v>72</v>
      </c>
      <c r="K204" s="15">
        <v>45310</v>
      </c>
      <c r="L204" s="14" t="s">
        <v>2845</v>
      </c>
      <c r="M204" t="s">
        <v>3500</v>
      </c>
      <c r="N204" s="15">
        <v>45323</v>
      </c>
      <c r="O204" s="14"/>
      <c r="P204">
        <v>141</v>
      </c>
    </row>
    <row r="205" spans="1:16" x14ac:dyDescent="0.3">
      <c r="A205">
        <v>204</v>
      </c>
      <c r="B205" s="14" t="s">
        <v>2425</v>
      </c>
      <c r="C205" s="14" t="s">
        <v>251</v>
      </c>
      <c r="D205" s="14" t="s">
        <v>3489</v>
      </c>
      <c r="E205" s="14" t="s">
        <v>1115</v>
      </c>
      <c r="F205" s="14"/>
      <c r="G205" s="14"/>
      <c r="H205" s="14"/>
      <c r="J205" s="14" t="s">
        <v>3525</v>
      </c>
      <c r="K205" s="15">
        <v>45310</v>
      </c>
      <c r="L205" s="14" t="s">
        <v>2845</v>
      </c>
      <c r="M205" t="s">
        <v>3500</v>
      </c>
      <c r="N205" s="15">
        <v>45310</v>
      </c>
      <c r="O205" s="14"/>
      <c r="P205">
        <v>141</v>
      </c>
    </row>
    <row r="206" spans="1:16" x14ac:dyDescent="0.3">
      <c r="A206">
        <v>205</v>
      </c>
      <c r="B206" s="14" t="s">
        <v>2426</v>
      </c>
      <c r="C206" s="14" t="s">
        <v>252</v>
      </c>
      <c r="D206" s="14" t="s">
        <v>3489</v>
      </c>
      <c r="E206" s="14" t="s">
        <v>1113</v>
      </c>
      <c r="F206" s="14" t="s">
        <v>28</v>
      </c>
      <c r="G206" s="14" t="s">
        <v>1706</v>
      </c>
      <c r="H206" s="14" t="s">
        <v>2075</v>
      </c>
      <c r="I206" t="s">
        <v>772</v>
      </c>
      <c r="J206" s="14" t="s">
        <v>28</v>
      </c>
      <c r="K206" s="15">
        <v>45311</v>
      </c>
      <c r="L206" s="14" t="s">
        <v>2846</v>
      </c>
      <c r="M206" t="s">
        <v>3500</v>
      </c>
      <c r="N206" s="15">
        <v>45315</v>
      </c>
      <c r="O206" s="14" t="s">
        <v>3521</v>
      </c>
      <c r="P206">
        <v>4</v>
      </c>
    </row>
    <row r="207" spans="1:16" x14ac:dyDescent="0.3">
      <c r="A207">
        <v>206</v>
      </c>
      <c r="B207" s="14" t="s">
        <v>2427</v>
      </c>
      <c r="C207" s="14" t="s">
        <v>2165</v>
      </c>
      <c r="D207" s="14" t="s">
        <v>3490</v>
      </c>
      <c r="E207" s="14" t="s">
        <v>1118</v>
      </c>
      <c r="F207" s="14" t="s">
        <v>1271</v>
      </c>
      <c r="G207" s="14" t="s">
        <v>1707</v>
      </c>
      <c r="H207" s="14" t="s">
        <v>2069</v>
      </c>
      <c r="I207" t="s">
        <v>773</v>
      </c>
      <c r="J207" s="14" t="s">
        <v>35</v>
      </c>
      <c r="K207" s="15">
        <v>45313</v>
      </c>
      <c r="L207" s="14" t="s">
        <v>2846</v>
      </c>
      <c r="M207" t="s">
        <v>3500</v>
      </c>
      <c r="N207" s="15">
        <v>45322</v>
      </c>
      <c r="O207" s="14"/>
      <c r="P207">
        <v>138</v>
      </c>
    </row>
    <row r="208" spans="1:16" x14ac:dyDescent="0.3">
      <c r="A208">
        <v>207</v>
      </c>
      <c r="B208" s="14" t="s">
        <v>2428</v>
      </c>
      <c r="C208" s="14" t="s">
        <v>2166</v>
      </c>
      <c r="D208" s="14" t="s">
        <v>3490</v>
      </c>
      <c r="E208" s="14" t="s">
        <v>1118</v>
      </c>
      <c r="F208" s="14" t="s">
        <v>1272</v>
      </c>
      <c r="G208" s="14" t="s">
        <v>1708</v>
      </c>
      <c r="H208" s="14"/>
      <c r="I208" t="s">
        <v>774</v>
      </c>
      <c r="J208" s="14" t="s">
        <v>30</v>
      </c>
      <c r="K208" s="15">
        <v>45313</v>
      </c>
      <c r="L208" s="14" t="s">
        <v>2847</v>
      </c>
      <c r="M208" t="s">
        <v>3523</v>
      </c>
      <c r="N208" s="15"/>
      <c r="O208" s="14"/>
      <c r="P208">
        <v>138</v>
      </c>
    </row>
    <row r="209" spans="1:16" x14ac:dyDescent="0.3">
      <c r="A209">
        <v>208</v>
      </c>
      <c r="B209" s="14" t="s">
        <v>2429</v>
      </c>
      <c r="C209" s="14" t="s">
        <v>2167</v>
      </c>
      <c r="D209" s="14" t="s">
        <v>3490</v>
      </c>
      <c r="E209" s="14" t="s">
        <v>1118</v>
      </c>
      <c r="F209" s="14" t="s">
        <v>1143</v>
      </c>
      <c r="G209" s="14" t="s">
        <v>1709</v>
      </c>
      <c r="H209" s="14" t="s">
        <v>2052</v>
      </c>
      <c r="I209" t="s">
        <v>775</v>
      </c>
      <c r="J209" s="14" t="s">
        <v>35</v>
      </c>
      <c r="K209" s="15">
        <v>45313</v>
      </c>
      <c r="L209" s="14" t="s">
        <v>2847</v>
      </c>
      <c r="M209" t="s">
        <v>3523</v>
      </c>
      <c r="N209" s="15"/>
      <c r="O209" s="14"/>
      <c r="P209">
        <v>138</v>
      </c>
    </row>
    <row r="210" spans="1:16" x14ac:dyDescent="0.3">
      <c r="A210">
        <v>209</v>
      </c>
      <c r="B210" s="14" t="s">
        <v>2430</v>
      </c>
      <c r="C210" s="14" t="s">
        <v>2168</v>
      </c>
      <c r="D210" s="14" t="s">
        <v>3489</v>
      </c>
      <c r="E210" s="14" t="s">
        <v>1118</v>
      </c>
      <c r="F210" s="14" t="s">
        <v>1273</v>
      </c>
      <c r="G210" s="14" t="s">
        <v>1710</v>
      </c>
      <c r="H210" s="14" t="s">
        <v>2052</v>
      </c>
      <c r="I210" t="s">
        <v>2843</v>
      </c>
      <c r="J210" s="14" t="s">
        <v>3525</v>
      </c>
      <c r="K210" s="15">
        <v>45313</v>
      </c>
      <c r="L210" s="14" t="s">
        <v>2847</v>
      </c>
      <c r="M210" t="s">
        <v>3523</v>
      </c>
      <c r="N210" s="15"/>
      <c r="O210" s="14"/>
      <c r="P210">
        <v>138</v>
      </c>
    </row>
    <row r="211" spans="1:16" x14ac:dyDescent="0.3">
      <c r="A211">
        <v>210</v>
      </c>
      <c r="B211" s="14" t="s">
        <v>2431</v>
      </c>
      <c r="C211" s="14" t="s">
        <v>2169</v>
      </c>
      <c r="D211" s="14" t="s">
        <v>3490</v>
      </c>
      <c r="E211" s="14" t="s">
        <v>1118</v>
      </c>
      <c r="F211" s="14" t="s">
        <v>1274</v>
      </c>
      <c r="G211" s="14" t="s">
        <v>1711</v>
      </c>
      <c r="H211" s="14"/>
      <c r="I211" t="s">
        <v>776</v>
      </c>
      <c r="J211" s="14" t="s">
        <v>20</v>
      </c>
      <c r="K211" s="15">
        <v>45313</v>
      </c>
      <c r="L211" s="14" t="s">
        <v>2847</v>
      </c>
      <c r="M211" t="s">
        <v>3523</v>
      </c>
      <c r="N211" s="15"/>
      <c r="O211" s="14"/>
      <c r="P211">
        <v>138</v>
      </c>
    </row>
    <row r="212" spans="1:16" x14ac:dyDescent="0.3">
      <c r="A212">
        <v>211</v>
      </c>
      <c r="B212" s="14" t="s">
        <v>2432</v>
      </c>
      <c r="C212" s="14" t="s">
        <v>253</v>
      </c>
      <c r="D212" s="14" t="s">
        <v>3490</v>
      </c>
      <c r="E212" s="14" t="s">
        <v>1118</v>
      </c>
      <c r="F212" s="14" t="s">
        <v>1275</v>
      </c>
      <c r="G212" s="14" t="s">
        <v>1712</v>
      </c>
      <c r="H212" s="14" t="s">
        <v>2059</v>
      </c>
      <c r="I212" t="s">
        <v>2844</v>
      </c>
      <c r="J212" s="14" t="s">
        <v>36</v>
      </c>
      <c r="K212" s="15">
        <v>45313</v>
      </c>
      <c r="L212" s="14" t="s">
        <v>2847</v>
      </c>
      <c r="M212" t="s">
        <v>3500</v>
      </c>
      <c r="N212" s="15">
        <v>45321</v>
      </c>
      <c r="O212" s="14"/>
      <c r="P212">
        <v>138</v>
      </c>
    </row>
    <row r="213" spans="1:16" x14ac:dyDescent="0.3">
      <c r="A213">
        <v>212</v>
      </c>
      <c r="B213" s="14" t="s">
        <v>2433</v>
      </c>
      <c r="C213" s="14" t="s">
        <v>254</v>
      </c>
      <c r="D213" s="14" t="s">
        <v>3490</v>
      </c>
      <c r="E213" s="14" t="s">
        <v>1118</v>
      </c>
      <c r="F213" s="14" t="s">
        <v>1276</v>
      </c>
      <c r="G213" s="14" t="s">
        <v>1713</v>
      </c>
      <c r="H213" s="14" t="s">
        <v>2052</v>
      </c>
      <c r="I213" t="s">
        <v>777</v>
      </c>
      <c r="J213" s="14" t="s">
        <v>35</v>
      </c>
      <c r="K213" s="15">
        <v>45314</v>
      </c>
      <c r="L213" s="14" t="s">
        <v>2847</v>
      </c>
      <c r="M213" t="s">
        <v>3523</v>
      </c>
      <c r="N213" s="15"/>
      <c r="O213" s="14"/>
      <c r="P213">
        <v>137</v>
      </c>
    </row>
    <row r="214" spans="1:16" x14ac:dyDescent="0.3">
      <c r="A214">
        <v>213</v>
      </c>
      <c r="B214" s="14" t="s">
        <v>2434</v>
      </c>
      <c r="C214" s="14" t="s">
        <v>2170</v>
      </c>
      <c r="D214" s="14" t="s">
        <v>3489</v>
      </c>
      <c r="E214" s="14" t="s">
        <v>1118</v>
      </c>
      <c r="F214" s="14" t="s">
        <v>69</v>
      </c>
      <c r="G214" s="14" t="s">
        <v>1714</v>
      </c>
      <c r="H214" s="14" t="s">
        <v>2052</v>
      </c>
      <c r="I214" t="s">
        <v>778</v>
      </c>
      <c r="J214" s="14" t="s">
        <v>3525</v>
      </c>
      <c r="K214" s="15">
        <v>45314</v>
      </c>
      <c r="L214" s="14" t="s">
        <v>2847</v>
      </c>
      <c r="M214" t="s">
        <v>3523</v>
      </c>
      <c r="N214" s="15"/>
      <c r="O214" s="14"/>
      <c r="P214">
        <v>137</v>
      </c>
    </row>
    <row r="215" spans="1:16" x14ac:dyDescent="0.3">
      <c r="A215">
        <v>214</v>
      </c>
      <c r="B215" s="14" t="s">
        <v>2435</v>
      </c>
      <c r="C215" s="14" t="s">
        <v>2171</v>
      </c>
      <c r="D215" s="14" t="s">
        <v>3489</v>
      </c>
      <c r="E215" s="14" t="s">
        <v>1113</v>
      </c>
      <c r="F215" s="14" t="s">
        <v>1277</v>
      </c>
      <c r="G215" s="14" t="s">
        <v>1715</v>
      </c>
      <c r="H215" s="14" t="s">
        <v>2052</v>
      </c>
      <c r="I215" t="s">
        <v>779</v>
      </c>
      <c r="J215" s="14" t="s">
        <v>35</v>
      </c>
      <c r="K215" s="15">
        <v>45314</v>
      </c>
      <c r="L215" s="14" t="s">
        <v>2847</v>
      </c>
      <c r="M215" t="s">
        <v>3523</v>
      </c>
      <c r="N215" s="15"/>
      <c r="O215" s="14"/>
      <c r="P215">
        <v>137</v>
      </c>
    </row>
    <row r="216" spans="1:16" x14ac:dyDescent="0.3">
      <c r="A216">
        <v>215</v>
      </c>
      <c r="B216" s="14" t="s">
        <v>2436</v>
      </c>
      <c r="C216" s="14" t="s">
        <v>2172</v>
      </c>
      <c r="D216" s="14" t="s">
        <v>3490</v>
      </c>
      <c r="E216" s="14" t="s">
        <v>1118</v>
      </c>
      <c r="F216" s="14" t="s">
        <v>1278</v>
      </c>
      <c r="G216" s="14" t="s">
        <v>1716</v>
      </c>
      <c r="H216" s="14" t="s">
        <v>2052</v>
      </c>
      <c r="I216" t="s">
        <v>780</v>
      </c>
      <c r="J216" s="14" t="s">
        <v>36</v>
      </c>
      <c r="K216" s="15">
        <v>45315</v>
      </c>
      <c r="L216" s="14" t="s">
        <v>2847</v>
      </c>
      <c r="M216" t="s">
        <v>3523</v>
      </c>
      <c r="N216" s="15"/>
      <c r="O216" s="14"/>
      <c r="P216">
        <v>136</v>
      </c>
    </row>
    <row r="217" spans="1:16" x14ac:dyDescent="0.3">
      <c r="A217">
        <v>216</v>
      </c>
      <c r="B217" s="14" t="s">
        <v>2437</v>
      </c>
      <c r="C217" s="14" t="s">
        <v>2173</v>
      </c>
      <c r="D217" s="14" t="s">
        <v>3490</v>
      </c>
      <c r="E217" s="14" t="s">
        <v>1118</v>
      </c>
      <c r="F217" s="14" t="s">
        <v>1279</v>
      </c>
      <c r="G217" s="14" t="s">
        <v>1717</v>
      </c>
      <c r="H217" s="14"/>
      <c r="I217" t="s">
        <v>781</v>
      </c>
      <c r="J217" s="14" t="s">
        <v>3525</v>
      </c>
      <c r="K217" s="15">
        <v>45316</v>
      </c>
      <c r="L217" s="14" t="s">
        <v>2847</v>
      </c>
      <c r="M217" t="s">
        <v>3523</v>
      </c>
      <c r="N217" s="15"/>
      <c r="O217" s="14"/>
      <c r="P217">
        <v>135</v>
      </c>
    </row>
    <row r="218" spans="1:16" x14ac:dyDescent="0.3">
      <c r="A218">
        <v>217</v>
      </c>
      <c r="B218" s="14" t="s">
        <v>2438</v>
      </c>
      <c r="C218" s="14" t="s">
        <v>2174</v>
      </c>
      <c r="D218" s="14" t="s">
        <v>3490</v>
      </c>
      <c r="E218" s="14" t="s">
        <v>1118</v>
      </c>
      <c r="F218" s="14" t="s">
        <v>1280</v>
      </c>
      <c r="G218" s="14" t="s">
        <v>1718</v>
      </c>
      <c r="H218" s="14"/>
      <c r="I218" t="s">
        <v>782</v>
      </c>
      <c r="J218" s="14" t="s">
        <v>20</v>
      </c>
      <c r="K218" s="15">
        <v>45316</v>
      </c>
      <c r="L218" s="14" t="s">
        <v>2847</v>
      </c>
      <c r="M218" t="s">
        <v>3523</v>
      </c>
      <c r="N218" s="15"/>
      <c r="O218" s="14"/>
      <c r="P218">
        <v>135</v>
      </c>
    </row>
    <row r="219" spans="1:16" x14ac:dyDescent="0.3">
      <c r="A219">
        <v>218</v>
      </c>
      <c r="B219" s="14" t="s">
        <v>2439</v>
      </c>
      <c r="C219" s="14" t="s">
        <v>255</v>
      </c>
      <c r="D219" s="14" t="s">
        <v>3490</v>
      </c>
      <c r="E219" s="14" t="s">
        <v>1119</v>
      </c>
      <c r="F219" s="14" t="s">
        <v>1188</v>
      </c>
      <c r="G219" s="14" t="s">
        <v>1620</v>
      </c>
      <c r="H219" s="14" t="s">
        <v>2075</v>
      </c>
      <c r="I219" t="s">
        <v>783</v>
      </c>
      <c r="J219" s="14" t="s">
        <v>36</v>
      </c>
      <c r="K219" s="15">
        <v>45316</v>
      </c>
      <c r="L219" s="14" t="s">
        <v>2847</v>
      </c>
      <c r="M219" t="s">
        <v>3501</v>
      </c>
      <c r="N219" s="15">
        <v>45324</v>
      </c>
      <c r="O219" s="14"/>
      <c r="P219">
        <v>135</v>
      </c>
    </row>
    <row r="220" spans="1:16" x14ac:dyDescent="0.3">
      <c r="A220">
        <v>219</v>
      </c>
      <c r="B220" s="14" t="s">
        <v>2440</v>
      </c>
      <c r="C220" s="14" t="s">
        <v>256</v>
      </c>
      <c r="D220" s="14" t="s">
        <v>3490</v>
      </c>
      <c r="E220" s="14" t="s">
        <v>1113</v>
      </c>
      <c r="F220" s="14" t="s">
        <v>1251</v>
      </c>
      <c r="G220" s="14" t="s">
        <v>1681</v>
      </c>
      <c r="H220" s="14" t="s">
        <v>2059</v>
      </c>
      <c r="J220" s="14" t="s">
        <v>1213</v>
      </c>
      <c r="K220" s="15">
        <v>45317</v>
      </c>
      <c r="L220" s="14" t="s">
        <v>2847</v>
      </c>
      <c r="M220" t="s">
        <v>3500</v>
      </c>
      <c r="N220" s="15">
        <v>45322</v>
      </c>
      <c r="O220" s="14" t="s">
        <v>3521</v>
      </c>
      <c r="P220">
        <v>5</v>
      </c>
    </row>
    <row r="221" spans="1:16" x14ac:dyDescent="0.3">
      <c r="A221">
        <v>220</v>
      </c>
      <c r="B221" s="14" t="s">
        <v>2441</v>
      </c>
      <c r="C221" s="14" t="s">
        <v>458</v>
      </c>
      <c r="D221" s="14" t="s">
        <v>3490</v>
      </c>
      <c r="E221" s="14" t="s">
        <v>1118</v>
      </c>
      <c r="F221" s="14" t="s">
        <v>1281</v>
      </c>
      <c r="G221" s="14" t="s">
        <v>1719</v>
      </c>
      <c r="H221" s="14" t="s">
        <v>2052</v>
      </c>
      <c r="I221" t="s">
        <v>784</v>
      </c>
      <c r="J221" s="14" t="s">
        <v>20</v>
      </c>
      <c r="K221" s="15">
        <v>45317</v>
      </c>
      <c r="L221" s="14" t="s">
        <v>2847</v>
      </c>
      <c r="M221" t="s">
        <v>3523</v>
      </c>
      <c r="N221" s="15"/>
      <c r="O221" s="14"/>
      <c r="P221">
        <v>134</v>
      </c>
    </row>
    <row r="222" spans="1:16" x14ac:dyDescent="0.3">
      <c r="A222">
        <v>221</v>
      </c>
      <c r="B222" s="14" t="s">
        <v>2442</v>
      </c>
      <c r="C222" s="14" t="s">
        <v>257</v>
      </c>
      <c r="D222" s="14" t="s">
        <v>3489</v>
      </c>
      <c r="E222" s="14" t="s">
        <v>1118</v>
      </c>
      <c r="F222" s="14" t="s">
        <v>1126</v>
      </c>
      <c r="G222" s="14" t="s">
        <v>1720</v>
      </c>
      <c r="H222" s="14" t="s">
        <v>2059</v>
      </c>
      <c r="I222">
        <v>70287776</v>
      </c>
      <c r="J222" s="14" t="s">
        <v>45</v>
      </c>
      <c r="K222" s="15">
        <v>45317</v>
      </c>
      <c r="L222" s="14" t="s">
        <v>2848</v>
      </c>
      <c r="M222" t="s">
        <v>3500</v>
      </c>
      <c r="N222" s="15">
        <v>45329</v>
      </c>
      <c r="O222" s="14"/>
      <c r="P222">
        <v>134</v>
      </c>
    </row>
    <row r="223" spans="1:16" x14ac:dyDescent="0.3">
      <c r="A223">
        <v>222</v>
      </c>
      <c r="B223" s="14" t="s">
        <v>2443</v>
      </c>
      <c r="C223" s="14" t="s">
        <v>258</v>
      </c>
      <c r="D223" s="14" t="s">
        <v>3489</v>
      </c>
      <c r="E223" s="14" t="s">
        <v>1118</v>
      </c>
      <c r="F223" s="14" t="s">
        <v>1282</v>
      </c>
      <c r="G223" s="14" t="s">
        <v>1665</v>
      </c>
      <c r="H223" s="14" t="s">
        <v>2088</v>
      </c>
      <c r="I223">
        <v>10695128</v>
      </c>
      <c r="J223" s="14" t="s">
        <v>45</v>
      </c>
      <c r="K223" s="15">
        <v>45317</v>
      </c>
      <c r="L223" s="14" t="s">
        <v>2848</v>
      </c>
      <c r="M223" t="s">
        <v>3500</v>
      </c>
      <c r="N223" s="15">
        <v>45329</v>
      </c>
      <c r="O223" s="14"/>
      <c r="P223">
        <v>134</v>
      </c>
    </row>
    <row r="224" spans="1:16" x14ac:dyDescent="0.3">
      <c r="A224">
        <v>223</v>
      </c>
      <c r="B224" s="14" t="s">
        <v>2444</v>
      </c>
      <c r="C224" s="14" t="s">
        <v>259</v>
      </c>
      <c r="D224" s="14" t="s">
        <v>3490</v>
      </c>
      <c r="E224" s="14" t="s">
        <v>1118</v>
      </c>
      <c r="F224" s="14" t="s">
        <v>1137</v>
      </c>
      <c r="G224" s="14" t="s">
        <v>1721</v>
      </c>
      <c r="H224" s="14" t="s">
        <v>2059</v>
      </c>
      <c r="I224">
        <v>10305999</v>
      </c>
      <c r="J224" s="14" t="s">
        <v>36</v>
      </c>
      <c r="K224" s="15">
        <v>45317</v>
      </c>
      <c r="L224" s="14" t="s">
        <v>2848</v>
      </c>
      <c r="M224" t="s">
        <v>3500</v>
      </c>
      <c r="N224" s="15">
        <v>45321</v>
      </c>
      <c r="O224" s="14"/>
      <c r="P224">
        <v>134</v>
      </c>
    </row>
    <row r="225" spans="1:17" x14ac:dyDescent="0.3">
      <c r="A225">
        <v>224</v>
      </c>
      <c r="B225" s="14" t="s">
        <v>2445</v>
      </c>
      <c r="C225" s="14" t="s">
        <v>260</v>
      </c>
      <c r="D225" s="14" t="s">
        <v>3490</v>
      </c>
      <c r="E225" s="14" t="s">
        <v>1118</v>
      </c>
      <c r="F225" s="14" t="s">
        <v>1126</v>
      </c>
      <c r="G225" s="14" t="s">
        <v>1722</v>
      </c>
      <c r="H225" s="14" t="s">
        <v>2054</v>
      </c>
      <c r="I225">
        <v>70221216</v>
      </c>
      <c r="J225" s="14" t="s">
        <v>27</v>
      </c>
      <c r="K225" s="15">
        <v>45317</v>
      </c>
      <c r="L225" s="14" t="s">
        <v>2847</v>
      </c>
      <c r="M225" t="s">
        <v>3500</v>
      </c>
      <c r="N225" s="15">
        <v>45323</v>
      </c>
      <c r="O225" s="14"/>
      <c r="P225">
        <v>134</v>
      </c>
    </row>
    <row r="226" spans="1:17" x14ac:dyDescent="0.3">
      <c r="A226">
        <v>225</v>
      </c>
      <c r="B226" s="14" t="s">
        <v>2446</v>
      </c>
      <c r="C226" s="14" t="s">
        <v>2175</v>
      </c>
      <c r="D226" s="14" t="s">
        <v>3489</v>
      </c>
      <c r="E226" s="14" t="s">
        <v>1113</v>
      </c>
      <c r="F226" s="14" t="s">
        <v>1126</v>
      </c>
      <c r="G226" s="14" t="s">
        <v>1723</v>
      </c>
      <c r="H226" s="14"/>
      <c r="I226" t="s">
        <v>785</v>
      </c>
      <c r="J226" s="14" t="s">
        <v>28</v>
      </c>
      <c r="K226" s="15">
        <v>45319</v>
      </c>
      <c r="L226" s="14" t="s">
        <v>2847</v>
      </c>
      <c r="M226" t="s">
        <v>3523</v>
      </c>
      <c r="N226" s="15"/>
      <c r="O226" s="14"/>
      <c r="P226">
        <v>132</v>
      </c>
    </row>
    <row r="227" spans="1:17" x14ac:dyDescent="0.3">
      <c r="A227">
        <v>226</v>
      </c>
      <c r="B227" s="14" t="s">
        <v>2447</v>
      </c>
      <c r="C227" s="14" t="s">
        <v>2176</v>
      </c>
      <c r="D227" s="14" t="s">
        <v>3490</v>
      </c>
      <c r="E227" s="14" t="s">
        <v>1118</v>
      </c>
      <c r="F227" s="14" t="s">
        <v>1283</v>
      </c>
      <c r="G227" s="14" t="s">
        <v>1724</v>
      </c>
      <c r="H227" s="14"/>
      <c r="I227" t="s">
        <v>786</v>
      </c>
      <c r="J227" s="14" t="s">
        <v>20</v>
      </c>
      <c r="K227" s="15">
        <v>45319</v>
      </c>
      <c r="L227" s="14" t="s">
        <v>2847</v>
      </c>
      <c r="M227" t="s">
        <v>3523</v>
      </c>
      <c r="N227" s="15"/>
      <c r="O227" s="14"/>
      <c r="P227">
        <v>132</v>
      </c>
    </row>
    <row r="228" spans="1:17" x14ac:dyDescent="0.3">
      <c r="A228">
        <v>227</v>
      </c>
      <c r="B228" s="14" t="s">
        <v>2448</v>
      </c>
      <c r="C228" s="14" t="s">
        <v>261</v>
      </c>
      <c r="D228" s="14" t="s">
        <v>3490</v>
      </c>
      <c r="E228" s="14" t="s">
        <v>1118</v>
      </c>
      <c r="F228" s="14" t="s">
        <v>1284</v>
      </c>
      <c r="G228" s="14" t="s">
        <v>1725</v>
      </c>
      <c r="H228" s="14"/>
      <c r="I228" t="s">
        <v>787</v>
      </c>
      <c r="J228" s="14" t="s">
        <v>36</v>
      </c>
      <c r="K228" s="15">
        <v>45320</v>
      </c>
      <c r="L228" s="14" t="s">
        <v>2847</v>
      </c>
      <c r="M228" t="s">
        <v>3523</v>
      </c>
      <c r="N228" s="15"/>
      <c r="O228" s="14"/>
      <c r="P228">
        <v>131</v>
      </c>
    </row>
    <row r="229" spans="1:17" x14ac:dyDescent="0.3">
      <c r="A229">
        <v>228</v>
      </c>
      <c r="B229" s="14" t="s">
        <v>2449</v>
      </c>
      <c r="C229" s="14" t="s">
        <v>2177</v>
      </c>
      <c r="D229" s="14" t="s">
        <v>3489</v>
      </c>
      <c r="E229" s="14" t="s">
        <v>1118</v>
      </c>
      <c r="F229" s="14" t="s">
        <v>1285</v>
      </c>
      <c r="G229" s="14" t="s">
        <v>1726</v>
      </c>
      <c r="H229" s="14"/>
      <c r="I229" t="s">
        <v>788</v>
      </c>
      <c r="J229" s="14" t="s">
        <v>3525</v>
      </c>
      <c r="K229" s="15">
        <v>45320</v>
      </c>
      <c r="L229" s="14" t="s">
        <v>2847</v>
      </c>
      <c r="M229" t="s">
        <v>3523</v>
      </c>
      <c r="N229" s="15"/>
      <c r="O229" s="14"/>
      <c r="P229">
        <v>131</v>
      </c>
    </row>
    <row r="230" spans="1:17" x14ac:dyDescent="0.3">
      <c r="A230">
        <v>229</v>
      </c>
      <c r="B230" s="14" t="s">
        <v>2450</v>
      </c>
      <c r="C230" s="14" t="s">
        <v>262</v>
      </c>
      <c r="D230" s="14" t="s">
        <v>3489</v>
      </c>
      <c r="E230" s="14" t="s">
        <v>1118</v>
      </c>
      <c r="F230" s="14" t="s">
        <v>1286</v>
      </c>
      <c r="G230" s="14" t="s">
        <v>1727</v>
      </c>
      <c r="H230" s="14"/>
      <c r="I230" t="s">
        <v>789</v>
      </c>
      <c r="J230" s="14" t="s">
        <v>3525</v>
      </c>
      <c r="K230" s="15">
        <v>45321</v>
      </c>
      <c r="L230" s="14" t="s">
        <v>2847</v>
      </c>
      <c r="M230" t="s">
        <v>3523</v>
      </c>
      <c r="N230" s="15"/>
      <c r="O230" s="14"/>
      <c r="P230">
        <v>130</v>
      </c>
    </row>
    <row r="231" spans="1:17" x14ac:dyDescent="0.3">
      <c r="A231">
        <v>230</v>
      </c>
      <c r="B231" s="14" t="s">
        <v>2451</v>
      </c>
      <c r="C231" s="14" t="s">
        <v>2178</v>
      </c>
      <c r="D231" s="14" t="s">
        <v>3490</v>
      </c>
      <c r="E231" s="14" t="s">
        <v>1118</v>
      </c>
      <c r="F231" s="14" t="s">
        <v>1287</v>
      </c>
      <c r="G231" s="14" t="s">
        <v>1728</v>
      </c>
      <c r="H231" s="14"/>
      <c r="I231" t="s">
        <v>790</v>
      </c>
      <c r="J231" s="14" t="s">
        <v>36</v>
      </c>
      <c r="K231" s="15">
        <v>45321</v>
      </c>
      <c r="L231" s="14" t="s">
        <v>2847</v>
      </c>
      <c r="M231" t="s">
        <v>3523</v>
      </c>
      <c r="N231" s="15"/>
      <c r="O231" s="14"/>
      <c r="P231">
        <v>130</v>
      </c>
    </row>
    <row r="232" spans="1:17" x14ac:dyDescent="0.3">
      <c r="A232">
        <v>231</v>
      </c>
      <c r="B232" s="14" t="s">
        <v>2452</v>
      </c>
      <c r="C232" s="14" t="s">
        <v>2179</v>
      </c>
      <c r="D232" s="14" t="s">
        <v>3490</v>
      </c>
      <c r="E232" s="14" t="s">
        <v>1118</v>
      </c>
      <c r="F232" s="14" t="s">
        <v>1288</v>
      </c>
      <c r="G232" s="14" t="s">
        <v>1729</v>
      </c>
      <c r="H232" s="14"/>
      <c r="I232" t="s">
        <v>791</v>
      </c>
      <c r="J232" s="14" t="s">
        <v>72</v>
      </c>
      <c r="K232" s="15">
        <v>45321</v>
      </c>
      <c r="L232" s="14" t="s">
        <v>2847</v>
      </c>
      <c r="M232" t="s">
        <v>3523</v>
      </c>
      <c r="N232" s="15"/>
      <c r="O232" s="14"/>
      <c r="P232">
        <v>130</v>
      </c>
    </row>
    <row r="233" spans="1:17" x14ac:dyDescent="0.3">
      <c r="A233">
        <v>232</v>
      </c>
      <c r="B233" s="14" t="s">
        <v>2453</v>
      </c>
      <c r="C233" s="14" t="s">
        <v>263</v>
      </c>
      <c r="D233" s="14" t="s">
        <v>3490</v>
      </c>
      <c r="E233" s="14" t="s">
        <v>1118</v>
      </c>
      <c r="F233" s="14" t="s">
        <v>1186</v>
      </c>
      <c r="G233" s="14" t="s">
        <v>1730</v>
      </c>
      <c r="H233" s="14"/>
      <c r="I233" t="s">
        <v>792</v>
      </c>
      <c r="J233" s="14" t="s">
        <v>30</v>
      </c>
      <c r="K233" s="15">
        <v>45321</v>
      </c>
      <c r="L233" s="14" t="s">
        <v>2847</v>
      </c>
      <c r="M233" t="s">
        <v>3523</v>
      </c>
      <c r="N233" s="15"/>
      <c r="O233" s="14"/>
      <c r="P233">
        <v>130</v>
      </c>
    </row>
    <row r="234" spans="1:17" x14ac:dyDescent="0.3">
      <c r="A234">
        <v>233</v>
      </c>
      <c r="B234" s="14" t="s">
        <v>2454</v>
      </c>
      <c r="C234" s="14" t="s">
        <v>2180</v>
      </c>
      <c r="D234" s="14" t="s">
        <v>3490</v>
      </c>
      <c r="E234" s="14" t="s">
        <v>1118</v>
      </c>
      <c r="F234" s="14" t="s">
        <v>1289</v>
      </c>
      <c r="G234" s="14" t="s">
        <v>1731</v>
      </c>
      <c r="H234" s="14"/>
      <c r="I234" t="s">
        <v>793</v>
      </c>
      <c r="J234" s="14" t="s">
        <v>3525</v>
      </c>
      <c r="K234" s="15">
        <v>45321</v>
      </c>
      <c r="L234" s="14" t="s">
        <v>2847</v>
      </c>
      <c r="M234" t="s">
        <v>3524</v>
      </c>
      <c r="N234" s="15"/>
      <c r="O234" s="14" t="s">
        <v>3521</v>
      </c>
    </row>
    <row r="235" spans="1:17" x14ac:dyDescent="0.3">
      <c r="A235">
        <v>234</v>
      </c>
      <c r="B235" s="14" t="s">
        <v>2455</v>
      </c>
      <c r="C235" s="14" t="s">
        <v>264</v>
      </c>
      <c r="D235" s="14" t="s">
        <v>3490</v>
      </c>
      <c r="E235" s="14" t="s">
        <v>1113</v>
      </c>
      <c r="F235" s="14" t="s">
        <v>1126</v>
      </c>
      <c r="G235" s="14" t="s">
        <v>1732</v>
      </c>
      <c r="H235" s="14" t="s">
        <v>2088</v>
      </c>
      <c r="I235" t="s">
        <v>794</v>
      </c>
      <c r="J235" s="14" t="s">
        <v>28</v>
      </c>
      <c r="K235" s="15">
        <v>45321</v>
      </c>
      <c r="L235" s="14" t="s">
        <v>2847</v>
      </c>
      <c r="M235" t="s">
        <v>3501</v>
      </c>
      <c r="N235" s="15">
        <v>45321</v>
      </c>
      <c r="O235" s="14"/>
      <c r="P235">
        <v>130</v>
      </c>
      <c r="Q235" t="s">
        <v>2850</v>
      </c>
    </row>
    <row r="236" spans="1:17" x14ac:dyDescent="0.3">
      <c r="A236">
        <v>235</v>
      </c>
      <c r="B236" s="14" t="s">
        <v>2456</v>
      </c>
      <c r="C236" s="14" t="s">
        <v>265</v>
      </c>
      <c r="D236" s="14" t="s">
        <v>3490</v>
      </c>
      <c r="E236" s="14" t="s">
        <v>1114</v>
      </c>
      <c r="F236" s="14" t="s">
        <v>1208</v>
      </c>
      <c r="G236" s="14" t="s">
        <v>1733</v>
      </c>
      <c r="H236" s="14" t="s">
        <v>2070</v>
      </c>
      <c r="I236">
        <v>87606226</v>
      </c>
      <c r="J236" s="14" t="s">
        <v>36</v>
      </c>
      <c r="K236" s="15">
        <v>45321</v>
      </c>
      <c r="L236" s="14" t="s">
        <v>2848</v>
      </c>
      <c r="M236" t="s">
        <v>3501</v>
      </c>
      <c r="N236" s="15">
        <v>45337</v>
      </c>
      <c r="O236" s="14"/>
      <c r="P236">
        <v>130</v>
      </c>
    </row>
    <row r="237" spans="1:17" x14ac:dyDescent="0.3">
      <c r="A237">
        <v>236</v>
      </c>
      <c r="B237" s="14" t="s">
        <v>2457</v>
      </c>
      <c r="C237" s="14" t="s">
        <v>266</v>
      </c>
      <c r="D237" s="14" t="s">
        <v>3490</v>
      </c>
      <c r="E237" s="14" t="s">
        <v>1118</v>
      </c>
      <c r="F237" s="14" t="s">
        <v>1290</v>
      </c>
      <c r="G237" s="14" t="s">
        <v>1734</v>
      </c>
      <c r="H237" s="14" t="s">
        <v>2069</v>
      </c>
      <c r="I237">
        <v>11389955</v>
      </c>
      <c r="J237" s="14" t="s">
        <v>3525</v>
      </c>
      <c r="K237" s="15">
        <v>45323</v>
      </c>
      <c r="L237" s="14" t="s">
        <v>2846</v>
      </c>
      <c r="M237" t="s">
        <v>3523</v>
      </c>
      <c r="N237" s="15"/>
      <c r="O237" s="14"/>
      <c r="P237">
        <v>128</v>
      </c>
    </row>
    <row r="238" spans="1:17" x14ac:dyDescent="0.3">
      <c r="A238">
        <v>237</v>
      </c>
      <c r="B238" s="14" t="s">
        <v>2458</v>
      </c>
      <c r="C238" s="14" t="s">
        <v>267</v>
      </c>
      <c r="D238" s="14" t="s">
        <v>3490</v>
      </c>
      <c r="E238" s="14" t="s">
        <v>1113</v>
      </c>
      <c r="F238" s="14" t="s">
        <v>1291</v>
      </c>
      <c r="G238" s="14" t="s">
        <v>1735</v>
      </c>
      <c r="H238" s="14"/>
      <c r="I238">
        <v>77222083</v>
      </c>
      <c r="J238" s="14" t="s">
        <v>3525</v>
      </c>
      <c r="K238" s="15">
        <v>45323</v>
      </c>
      <c r="L238" s="14" t="s">
        <v>2846</v>
      </c>
      <c r="M238" t="s">
        <v>3523</v>
      </c>
      <c r="N238" s="15"/>
      <c r="O238" s="14"/>
      <c r="P238">
        <v>128</v>
      </c>
    </row>
    <row r="239" spans="1:17" x14ac:dyDescent="0.3">
      <c r="A239">
        <v>238</v>
      </c>
      <c r="B239" s="14" t="s">
        <v>2459</v>
      </c>
      <c r="C239" s="14" t="s">
        <v>268</v>
      </c>
      <c r="D239" s="14" t="s">
        <v>3490</v>
      </c>
      <c r="E239" s="14" t="s">
        <v>1113</v>
      </c>
      <c r="F239" s="14" t="s">
        <v>1213</v>
      </c>
      <c r="G239" s="14" t="s">
        <v>1736</v>
      </c>
      <c r="H239" s="14"/>
      <c r="I239">
        <v>77955662</v>
      </c>
      <c r="J239" s="14" t="s">
        <v>3525</v>
      </c>
      <c r="K239" s="15">
        <v>45323</v>
      </c>
      <c r="L239" s="14" t="s">
        <v>2846</v>
      </c>
      <c r="M239" t="s">
        <v>3523</v>
      </c>
      <c r="N239" s="15"/>
      <c r="O239" s="14"/>
      <c r="P239">
        <v>128</v>
      </c>
    </row>
    <row r="240" spans="1:17" x14ac:dyDescent="0.3">
      <c r="A240">
        <v>239</v>
      </c>
      <c r="B240" s="14" t="s">
        <v>2460</v>
      </c>
      <c r="C240" s="14" t="s">
        <v>269</v>
      </c>
      <c r="D240" s="14" t="s">
        <v>3490</v>
      </c>
      <c r="E240" s="14" t="s">
        <v>1113</v>
      </c>
      <c r="F240" s="14" t="s">
        <v>1200</v>
      </c>
      <c r="G240" s="14" t="s">
        <v>1702</v>
      </c>
      <c r="H240" s="14" t="s">
        <v>2088</v>
      </c>
      <c r="I240">
        <v>93225888</v>
      </c>
      <c r="J240" s="14" t="s">
        <v>3525</v>
      </c>
      <c r="K240" s="15">
        <v>45323</v>
      </c>
      <c r="L240" s="14" t="s">
        <v>2846</v>
      </c>
      <c r="M240" t="s">
        <v>3523</v>
      </c>
      <c r="N240" s="15"/>
      <c r="O240" s="14"/>
      <c r="P240">
        <v>128</v>
      </c>
    </row>
    <row r="241" spans="1:16" x14ac:dyDescent="0.3">
      <c r="A241">
        <v>240</v>
      </c>
      <c r="B241" s="14" t="s">
        <v>2461</v>
      </c>
      <c r="C241" s="14" t="s">
        <v>270</v>
      </c>
      <c r="D241" s="14" t="s">
        <v>3489</v>
      </c>
      <c r="E241" s="14" t="s">
        <v>1118</v>
      </c>
      <c r="F241" s="14" t="s">
        <v>1292</v>
      </c>
      <c r="G241" s="14" t="s">
        <v>1737</v>
      </c>
      <c r="H241" s="14" t="s">
        <v>2071</v>
      </c>
      <c r="I241">
        <v>962157794</v>
      </c>
      <c r="J241" s="14" t="s">
        <v>35</v>
      </c>
      <c r="K241" s="15">
        <v>45324</v>
      </c>
      <c r="L241" s="14" t="s">
        <v>2848</v>
      </c>
      <c r="M241" t="s">
        <v>3500</v>
      </c>
      <c r="N241" s="15">
        <v>45330</v>
      </c>
      <c r="O241" s="14"/>
      <c r="P241">
        <v>127</v>
      </c>
    </row>
    <row r="242" spans="1:16" x14ac:dyDescent="0.3">
      <c r="A242">
        <v>241</v>
      </c>
      <c r="B242" s="14" t="s">
        <v>2462</v>
      </c>
      <c r="C242" s="14" t="s">
        <v>271</v>
      </c>
      <c r="D242" s="14" t="s">
        <v>3489</v>
      </c>
      <c r="E242" s="14" t="s">
        <v>1118</v>
      </c>
      <c r="F242" s="14" t="s">
        <v>1293</v>
      </c>
      <c r="G242" s="14" t="s">
        <v>1738</v>
      </c>
      <c r="H242" s="14" t="s">
        <v>2072</v>
      </c>
      <c r="I242">
        <v>975215309</v>
      </c>
      <c r="J242" s="14" t="s">
        <v>35</v>
      </c>
      <c r="K242" s="15">
        <v>45324</v>
      </c>
      <c r="L242" s="14" t="s">
        <v>2848</v>
      </c>
      <c r="M242" t="s">
        <v>3500</v>
      </c>
      <c r="N242" s="15">
        <v>45330</v>
      </c>
      <c r="O242" s="14"/>
      <c r="P242">
        <v>127</v>
      </c>
    </row>
    <row r="243" spans="1:16" x14ac:dyDescent="0.3">
      <c r="A243">
        <v>242</v>
      </c>
      <c r="B243" s="14" t="s">
        <v>2463</v>
      </c>
      <c r="C243" s="14" t="s">
        <v>272</v>
      </c>
      <c r="D243" s="14" t="s">
        <v>3489</v>
      </c>
      <c r="E243" s="14" t="s">
        <v>1118</v>
      </c>
      <c r="F243" s="14" t="s">
        <v>1208</v>
      </c>
      <c r="G243" s="14" t="s">
        <v>1739</v>
      </c>
      <c r="H243" s="14" t="s">
        <v>704</v>
      </c>
      <c r="I243">
        <v>16294964</v>
      </c>
      <c r="J243" s="14" t="s">
        <v>3525</v>
      </c>
      <c r="K243" s="15">
        <v>45324</v>
      </c>
      <c r="L243" s="14" t="s">
        <v>2848</v>
      </c>
      <c r="M243" t="s">
        <v>3500</v>
      </c>
      <c r="N243" s="15">
        <v>45330</v>
      </c>
      <c r="O243" s="14"/>
      <c r="P243">
        <v>127</v>
      </c>
    </row>
    <row r="244" spans="1:16" x14ac:dyDescent="0.3">
      <c r="A244">
        <v>243</v>
      </c>
      <c r="B244" s="14" t="s">
        <v>2464</v>
      </c>
      <c r="C244" s="14" t="s">
        <v>273</v>
      </c>
      <c r="D244" s="14" t="s">
        <v>3489</v>
      </c>
      <c r="E244" s="14" t="s">
        <v>1118</v>
      </c>
      <c r="F244" s="14" t="s">
        <v>1294</v>
      </c>
      <c r="G244" s="14" t="s">
        <v>1740</v>
      </c>
      <c r="H244" s="14" t="s">
        <v>2054</v>
      </c>
      <c r="I244">
        <v>719838878</v>
      </c>
      <c r="J244" s="14" t="s">
        <v>3525</v>
      </c>
      <c r="K244" s="15">
        <v>45324</v>
      </c>
      <c r="L244" s="14" t="s">
        <v>2848</v>
      </c>
      <c r="M244" t="s">
        <v>3500</v>
      </c>
      <c r="N244" s="15">
        <v>45330</v>
      </c>
      <c r="O244" s="14"/>
      <c r="P244">
        <v>127</v>
      </c>
    </row>
    <row r="245" spans="1:16" x14ac:dyDescent="0.3">
      <c r="A245">
        <v>244</v>
      </c>
      <c r="B245" s="14" t="s">
        <v>2465</v>
      </c>
      <c r="C245" s="14" t="s">
        <v>274</v>
      </c>
      <c r="D245" s="14" t="s">
        <v>3489</v>
      </c>
      <c r="E245" s="14" t="s">
        <v>1118</v>
      </c>
      <c r="F245" s="14" t="s">
        <v>1295</v>
      </c>
      <c r="G245" s="14" t="s">
        <v>1741</v>
      </c>
      <c r="H245" s="14" t="s">
        <v>2068</v>
      </c>
      <c r="I245">
        <v>81221126</v>
      </c>
      <c r="J245" s="14" t="s">
        <v>3525</v>
      </c>
      <c r="K245" s="15">
        <v>45324</v>
      </c>
      <c r="L245" s="14" t="s">
        <v>2848</v>
      </c>
      <c r="M245" t="s">
        <v>3500</v>
      </c>
      <c r="N245" s="15">
        <v>45330</v>
      </c>
      <c r="O245" s="14"/>
      <c r="P245">
        <v>127</v>
      </c>
    </row>
    <row r="246" spans="1:16" x14ac:dyDescent="0.3">
      <c r="A246">
        <v>245</v>
      </c>
      <c r="B246" s="14" t="s">
        <v>2466</v>
      </c>
      <c r="C246" s="14" t="s">
        <v>275</v>
      </c>
      <c r="D246" s="14" t="s">
        <v>3489</v>
      </c>
      <c r="E246" s="14" t="s">
        <v>1118</v>
      </c>
      <c r="F246" s="14" t="s">
        <v>704</v>
      </c>
      <c r="G246" s="14" t="s">
        <v>704</v>
      </c>
      <c r="H246" s="14" t="s">
        <v>704</v>
      </c>
      <c r="I246">
        <v>69753744</v>
      </c>
      <c r="J246" s="14" t="s">
        <v>35</v>
      </c>
      <c r="K246" s="15">
        <v>45324</v>
      </c>
      <c r="L246" s="14" t="s">
        <v>2848</v>
      </c>
      <c r="M246" t="s">
        <v>3500</v>
      </c>
      <c r="N246" s="15">
        <v>45330</v>
      </c>
      <c r="O246" s="14"/>
      <c r="P246">
        <v>127</v>
      </c>
    </row>
    <row r="247" spans="1:16" x14ac:dyDescent="0.3">
      <c r="A247">
        <v>246</v>
      </c>
      <c r="B247" s="14" t="s">
        <v>2467</v>
      </c>
      <c r="C247" s="14" t="s">
        <v>276</v>
      </c>
      <c r="D247" s="14" t="s">
        <v>3489</v>
      </c>
      <c r="E247" s="14" t="s">
        <v>1118</v>
      </c>
      <c r="F247" s="14" t="s">
        <v>1293</v>
      </c>
      <c r="G247" s="14" t="s">
        <v>1742</v>
      </c>
      <c r="H247" s="14" t="s">
        <v>2059</v>
      </c>
      <c r="I247">
        <v>70996158</v>
      </c>
      <c r="J247" s="14" t="s">
        <v>35</v>
      </c>
      <c r="K247" s="15">
        <v>45324</v>
      </c>
      <c r="L247" s="14" t="s">
        <v>2848</v>
      </c>
      <c r="M247" t="s">
        <v>3500</v>
      </c>
      <c r="N247" s="15">
        <v>45330</v>
      </c>
      <c r="O247" s="14"/>
      <c r="P247">
        <v>127</v>
      </c>
    </row>
    <row r="248" spans="1:16" x14ac:dyDescent="0.3">
      <c r="A248">
        <v>247</v>
      </c>
      <c r="B248" s="14" t="s">
        <v>2468</v>
      </c>
      <c r="C248" s="14" t="s">
        <v>277</v>
      </c>
      <c r="D248" s="14" t="s">
        <v>3489</v>
      </c>
      <c r="E248" s="14" t="s">
        <v>1118</v>
      </c>
      <c r="F248" s="14" t="s">
        <v>1296</v>
      </c>
      <c r="G248" s="14" t="s">
        <v>1721</v>
      </c>
      <c r="H248" s="14" t="s">
        <v>2059</v>
      </c>
      <c r="I248">
        <v>86436905</v>
      </c>
      <c r="J248" s="14" t="s">
        <v>3525</v>
      </c>
      <c r="K248" s="15">
        <v>45324</v>
      </c>
      <c r="L248" s="14" t="s">
        <v>2848</v>
      </c>
      <c r="M248" t="s">
        <v>3501</v>
      </c>
      <c r="N248" s="15">
        <v>45337</v>
      </c>
      <c r="O248" s="14" t="s">
        <v>2852</v>
      </c>
      <c r="P248">
        <v>13</v>
      </c>
    </row>
    <row r="249" spans="1:16" x14ac:dyDescent="0.3">
      <c r="A249">
        <v>248</v>
      </c>
      <c r="B249" s="14" t="s">
        <v>2469</v>
      </c>
      <c r="C249" s="14" t="s">
        <v>278</v>
      </c>
      <c r="D249" s="14" t="s">
        <v>3490</v>
      </c>
      <c r="E249" s="14" t="s">
        <v>1118</v>
      </c>
      <c r="F249" s="14" t="s">
        <v>1297</v>
      </c>
      <c r="G249" s="14" t="s">
        <v>1743</v>
      </c>
      <c r="H249" s="14" t="s">
        <v>2088</v>
      </c>
      <c r="I249" t="s">
        <v>795</v>
      </c>
      <c r="J249" s="14" t="s">
        <v>50</v>
      </c>
      <c r="K249" s="15">
        <v>45327</v>
      </c>
      <c r="L249" s="14" t="s">
        <v>2847</v>
      </c>
      <c r="M249" t="s">
        <v>3501</v>
      </c>
      <c r="N249" s="15">
        <v>45349</v>
      </c>
      <c r="O249" s="14"/>
      <c r="P249">
        <v>124</v>
      </c>
    </row>
    <row r="250" spans="1:16" x14ac:dyDescent="0.3">
      <c r="A250">
        <v>249</v>
      </c>
      <c r="B250" s="14" t="s">
        <v>2470</v>
      </c>
      <c r="C250" s="14" t="s">
        <v>279</v>
      </c>
      <c r="D250" s="14" t="s">
        <v>3490</v>
      </c>
      <c r="E250" s="14" t="s">
        <v>1118</v>
      </c>
      <c r="F250" s="14" t="s">
        <v>49</v>
      </c>
      <c r="G250" s="14" t="s">
        <v>1744</v>
      </c>
      <c r="H250" s="14" t="s">
        <v>2088</v>
      </c>
      <c r="I250" t="s">
        <v>796</v>
      </c>
      <c r="J250" s="14" t="s">
        <v>36</v>
      </c>
      <c r="K250" s="15">
        <v>45327</v>
      </c>
      <c r="L250" s="14" t="s">
        <v>2848</v>
      </c>
      <c r="M250" t="s">
        <v>3501</v>
      </c>
      <c r="N250" s="15">
        <v>45349</v>
      </c>
      <c r="O250" s="14"/>
      <c r="P250">
        <v>124</v>
      </c>
    </row>
    <row r="251" spans="1:16" x14ac:dyDescent="0.3">
      <c r="A251">
        <v>250</v>
      </c>
      <c r="B251" s="14" t="s">
        <v>2471</v>
      </c>
      <c r="C251" s="14" t="s">
        <v>280</v>
      </c>
      <c r="D251" s="14" t="s">
        <v>3490</v>
      </c>
      <c r="E251" s="14" t="s">
        <v>1118</v>
      </c>
      <c r="F251" s="14" t="s">
        <v>1293</v>
      </c>
      <c r="G251" s="14" t="s">
        <v>1745</v>
      </c>
      <c r="H251" s="14" t="s">
        <v>2059</v>
      </c>
      <c r="I251">
        <v>86562872</v>
      </c>
      <c r="J251" s="14" t="s">
        <v>36</v>
      </c>
      <c r="K251" s="15">
        <v>45327</v>
      </c>
      <c r="L251" s="14" t="s">
        <v>2848</v>
      </c>
      <c r="M251" t="s">
        <v>3500</v>
      </c>
      <c r="N251" s="15">
        <v>45328</v>
      </c>
      <c r="O251" s="14"/>
      <c r="P251">
        <v>124</v>
      </c>
    </row>
    <row r="252" spans="1:16" x14ac:dyDescent="0.3">
      <c r="A252">
        <v>251</v>
      </c>
      <c r="B252" s="14" t="s">
        <v>2472</v>
      </c>
      <c r="C252" s="14" t="s">
        <v>281</v>
      </c>
      <c r="D252" s="14" t="s">
        <v>3489</v>
      </c>
      <c r="E252" s="14" t="s">
        <v>1118</v>
      </c>
      <c r="F252" s="14" t="s">
        <v>1296</v>
      </c>
      <c r="G252" s="14" t="s">
        <v>1538</v>
      </c>
      <c r="H252" s="14" t="s">
        <v>2055</v>
      </c>
      <c r="I252">
        <v>16864461</v>
      </c>
      <c r="J252" s="14" t="s">
        <v>3525</v>
      </c>
      <c r="K252" s="15">
        <v>45338</v>
      </c>
      <c r="L252" s="14" t="s">
        <v>2848</v>
      </c>
      <c r="M252" t="s">
        <v>3501</v>
      </c>
      <c r="N252" s="15">
        <v>45346</v>
      </c>
      <c r="O252" s="14"/>
      <c r="P252">
        <v>113</v>
      </c>
    </row>
    <row r="253" spans="1:16" x14ac:dyDescent="0.3">
      <c r="A253">
        <v>252</v>
      </c>
      <c r="B253" s="14" t="s">
        <v>2473</v>
      </c>
      <c r="C253" s="14" t="s">
        <v>282</v>
      </c>
      <c r="D253" s="14" t="s">
        <v>3490</v>
      </c>
      <c r="E253" s="14" t="s">
        <v>1118</v>
      </c>
      <c r="F253" s="14" t="s">
        <v>1298</v>
      </c>
      <c r="G253" s="14" t="s">
        <v>1681</v>
      </c>
      <c r="H253" s="14" t="s">
        <v>2059</v>
      </c>
      <c r="I253">
        <v>86774153</v>
      </c>
      <c r="J253" s="14" t="s">
        <v>35</v>
      </c>
      <c r="K253" s="15">
        <v>45338</v>
      </c>
      <c r="L253" s="14" t="s">
        <v>2848</v>
      </c>
      <c r="M253" t="s">
        <v>3500</v>
      </c>
      <c r="N253" s="15">
        <v>45343</v>
      </c>
      <c r="O253" s="14"/>
      <c r="P253">
        <v>113</v>
      </c>
    </row>
    <row r="254" spans="1:16" x14ac:dyDescent="0.3">
      <c r="A254">
        <v>253</v>
      </c>
      <c r="B254" s="14" t="s">
        <v>2474</v>
      </c>
      <c r="C254" s="14" t="s">
        <v>2181</v>
      </c>
      <c r="D254" s="14" t="s">
        <v>3490</v>
      </c>
      <c r="E254" s="14" t="s">
        <v>1115</v>
      </c>
      <c r="F254" s="14"/>
      <c r="G254" s="14"/>
      <c r="H254" s="14"/>
      <c r="J254" s="14" t="s">
        <v>30</v>
      </c>
      <c r="K254" s="15">
        <v>45342</v>
      </c>
      <c r="L254" s="14" t="s">
        <v>2845</v>
      </c>
      <c r="M254" t="s">
        <v>3500</v>
      </c>
      <c r="N254" s="15">
        <v>45343</v>
      </c>
      <c r="O254" s="14"/>
      <c r="P254">
        <v>109</v>
      </c>
    </row>
    <row r="255" spans="1:16" x14ac:dyDescent="0.3">
      <c r="A255">
        <v>254</v>
      </c>
      <c r="B255" s="14" t="s">
        <v>2475</v>
      </c>
      <c r="C255" s="14" t="s">
        <v>283</v>
      </c>
      <c r="D255" s="14" t="s">
        <v>3490</v>
      </c>
      <c r="E255" s="14" t="s">
        <v>1115</v>
      </c>
      <c r="F255" s="14"/>
      <c r="G255" s="14"/>
      <c r="H255" s="14"/>
      <c r="J255" s="14" t="s">
        <v>53</v>
      </c>
      <c r="K255" s="15">
        <v>45342</v>
      </c>
      <c r="L255" s="14" t="s">
        <v>2845</v>
      </c>
      <c r="M255" t="s">
        <v>3500</v>
      </c>
      <c r="N255" s="15">
        <v>45343</v>
      </c>
      <c r="O255" s="14"/>
      <c r="P255">
        <v>109</v>
      </c>
    </row>
    <row r="256" spans="1:16" x14ac:dyDescent="0.3">
      <c r="A256">
        <v>255</v>
      </c>
      <c r="B256" s="14" t="s">
        <v>2476</v>
      </c>
      <c r="C256" s="14" t="s">
        <v>284</v>
      </c>
      <c r="D256" s="14" t="s">
        <v>3489</v>
      </c>
      <c r="E256" s="14" t="s">
        <v>1118</v>
      </c>
      <c r="F256" s="14" t="s">
        <v>1299</v>
      </c>
      <c r="G256" s="14" t="s">
        <v>1746</v>
      </c>
      <c r="H256" s="14" t="s">
        <v>2055</v>
      </c>
      <c r="I256">
        <v>98992640</v>
      </c>
      <c r="J256" s="14" t="s">
        <v>35</v>
      </c>
      <c r="K256" s="15">
        <v>45342</v>
      </c>
      <c r="L256" s="14" t="s">
        <v>2848</v>
      </c>
      <c r="M256" t="s">
        <v>3500</v>
      </c>
      <c r="N256" s="15">
        <v>45346</v>
      </c>
      <c r="O256" s="14"/>
      <c r="P256">
        <v>109</v>
      </c>
    </row>
    <row r="257" spans="1:16" x14ac:dyDescent="0.3">
      <c r="A257">
        <v>256</v>
      </c>
      <c r="B257" s="14" t="s">
        <v>2477</v>
      </c>
      <c r="C257" s="14" t="s">
        <v>285</v>
      </c>
      <c r="D257" s="14" t="s">
        <v>3490</v>
      </c>
      <c r="E257" s="14" t="s">
        <v>1118</v>
      </c>
      <c r="F257" s="14" t="s">
        <v>1300</v>
      </c>
      <c r="G257" s="14" t="s">
        <v>1747</v>
      </c>
      <c r="H257" s="14" t="s">
        <v>2059</v>
      </c>
      <c r="I257">
        <v>966980662</v>
      </c>
      <c r="J257" s="14" t="s">
        <v>35</v>
      </c>
      <c r="K257" s="15">
        <v>45342</v>
      </c>
      <c r="L257" s="14" t="s">
        <v>2848</v>
      </c>
      <c r="M257" t="s">
        <v>3500</v>
      </c>
      <c r="N257" s="15">
        <v>45346</v>
      </c>
      <c r="O257" s="14"/>
      <c r="P257">
        <v>109</v>
      </c>
    </row>
    <row r="258" spans="1:16" x14ac:dyDescent="0.3">
      <c r="A258">
        <v>257</v>
      </c>
      <c r="B258" s="14" t="s">
        <v>2478</v>
      </c>
      <c r="C258" s="14" t="s">
        <v>286</v>
      </c>
      <c r="D258" s="14" t="s">
        <v>3489</v>
      </c>
      <c r="E258" s="14" t="s">
        <v>1118</v>
      </c>
      <c r="F258" s="14" t="s">
        <v>1301</v>
      </c>
      <c r="G258" s="14" t="s">
        <v>1748</v>
      </c>
      <c r="H258" s="14" t="s">
        <v>2086</v>
      </c>
      <c r="I258">
        <v>964792657</v>
      </c>
      <c r="J258" s="14" t="s">
        <v>3525</v>
      </c>
      <c r="K258" s="15">
        <v>45342</v>
      </c>
      <c r="L258" s="14" t="s">
        <v>2848</v>
      </c>
      <c r="M258" t="s">
        <v>3500</v>
      </c>
      <c r="N258" s="15">
        <v>45346</v>
      </c>
      <c r="O258" s="14"/>
      <c r="P258">
        <v>109</v>
      </c>
    </row>
    <row r="259" spans="1:16" x14ac:dyDescent="0.3">
      <c r="A259">
        <v>258</v>
      </c>
      <c r="B259" s="14" t="s">
        <v>2479</v>
      </c>
      <c r="C259" s="14" t="s">
        <v>287</v>
      </c>
      <c r="D259" s="14" t="s">
        <v>3489</v>
      </c>
      <c r="E259" s="14" t="s">
        <v>1118</v>
      </c>
      <c r="F259" s="14" t="s">
        <v>1293</v>
      </c>
      <c r="G259" s="14" t="s">
        <v>1749</v>
      </c>
      <c r="H259" s="14" t="s">
        <v>43</v>
      </c>
      <c r="I259">
        <v>15989603</v>
      </c>
      <c r="J259" s="14" t="s">
        <v>3525</v>
      </c>
      <c r="K259" s="15">
        <v>45342</v>
      </c>
      <c r="L259" s="14" t="s">
        <v>2848</v>
      </c>
      <c r="M259" t="s">
        <v>3501</v>
      </c>
      <c r="N259" s="15">
        <v>45346</v>
      </c>
      <c r="O259" s="14"/>
      <c r="P259">
        <v>109</v>
      </c>
    </row>
    <row r="260" spans="1:16" x14ac:dyDescent="0.3">
      <c r="A260">
        <v>259</v>
      </c>
      <c r="B260" s="14" t="s">
        <v>2480</v>
      </c>
      <c r="C260" s="14" t="s">
        <v>288</v>
      </c>
      <c r="D260" s="14" t="s">
        <v>3489</v>
      </c>
      <c r="E260" s="14" t="s">
        <v>1117</v>
      </c>
      <c r="F260" s="14" t="s">
        <v>1302</v>
      </c>
      <c r="G260" s="14" t="s">
        <v>1750</v>
      </c>
      <c r="H260" s="14" t="s">
        <v>2061</v>
      </c>
      <c r="I260">
        <v>16766049</v>
      </c>
      <c r="J260" s="14" t="s">
        <v>36</v>
      </c>
      <c r="K260" s="15">
        <v>45342</v>
      </c>
      <c r="L260" s="14" t="s">
        <v>2845</v>
      </c>
      <c r="M260" t="s">
        <v>3500</v>
      </c>
      <c r="N260" s="15">
        <v>45346</v>
      </c>
      <c r="O260" s="14"/>
      <c r="P260">
        <v>109</v>
      </c>
    </row>
    <row r="261" spans="1:16" x14ac:dyDescent="0.3">
      <c r="A261">
        <v>260</v>
      </c>
      <c r="B261" s="14" t="s">
        <v>2481</v>
      </c>
      <c r="C261" s="14" t="s">
        <v>289</v>
      </c>
      <c r="D261" s="14" t="s">
        <v>3490</v>
      </c>
      <c r="E261" s="14" t="s">
        <v>1118</v>
      </c>
      <c r="F261" s="14" t="s">
        <v>28</v>
      </c>
      <c r="G261" s="14" t="s">
        <v>1751</v>
      </c>
      <c r="H261" s="14" t="s">
        <v>2073</v>
      </c>
      <c r="I261">
        <v>17229564</v>
      </c>
      <c r="J261" s="14" t="s">
        <v>29</v>
      </c>
      <c r="K261" s="15">
        <v>45343</v>
      </c>
      <c r="L261" s="14" t="s">
        <v>2846</v>
      </c>
      <c r="M261" t="s">
        <v>3501</v>
      </c>
      <c r="N261" s="15">
        <v>45358</v>
      </c>
      <c r="O261" s="14" t="s">
        <v>3521</v>
      </c>
      <c r="P261">
        <v>15</v>
      </c>
    </row>
    <row r="262" spans="1:16" x14ac:dyDescent="0.3">
      <c r="A262">
        <v>261</v>
      </c>
      <c r="B262" s="14" t="s">
        <v>2482</v>
      </c>
      <c r="C262" s="14" t="s">
        <v>290</v>
      </c>
      <c r="D262" s="14" t="s">
        <v>3490</v>
      </c>
      <c r="E262" s="14" t="s">
        <v>1114</v>
      </c>
      <c r="F262" s="14" t="s">
        <v>1303</v>
      </c>
      <c r="G262" s="14" t="s">
        <v>1752</v>
      </c>
      <c r="H262" s="14" t="s">
        <v>2074</v>
      </c>
      <c r="I262">
        <v>762095509</v>
      </c>
      <c r="J262" s="14" t="s">
        <v>36</v>
      </c>
      <c r="K262" s="15">
        <v>45343</v>
      </c>
      <c r="L262" s="14" t="s">
        <v>2845</v>
      </c>
      <c r="M262" t="s">
        <v>3500</v>
      </c>
      <c r="N262" s="15">
        <v>45345</v>
      </c>
      <c r="O262" s="14"/>
      <c r="P262">
        <v>108</v>
      </c>
    </row>
    <row r="263" spans="1:16" x14ac:dyDescent="0.3">
      <c r="A263">
        <v>262</v>
      </c>
      <c r="B263" s="14" t="s">
        <v>2483</v>
      </c>
      <c r="C263" s="14" t="s">
        <v>291</v>
      </c>
      <c r="D263" s="14" t="s">
        <v>3489</v>
      </c>
      <c r="E263" s="14" t="s">
        <v>1118</v>
      </c>
      <c r="F263" s="14" t="s">
        <v>1304</v>
      </c>
      <c r="G263" s="14" t="s">
        <v>1753</v>
      </c>
      <c r="H263" s="14" t="s">
        <v>2088</v>
      </c>
      <c r="I263">
        <v>93991963</v>
      </c>
      <c r="J263" s="14" t="s">
        <v>45</v>
      </c>
      <c r="K263" s="15">
        <v>45344</v>
      </c>
      <c r="L263" s="14" t="s">
        <v>2848</v>
      </c>
      <c r="M263" t="s">
        <v>3500</v>
      </c>
      <c r="N263" s="15">
        <v>45349</v>
      </c>
      <c r="O263" s="14"/>
      <c r="P263">
        <v>107</v>
      </c>
    </row>
    <row r="264" spans="1:16" x14ac:dyDescent="0.3">
      <c r="A264">
        <v>263</v>
      </c>
      <c r="B264" s="14" t="s">
        <v>2484</v>
      </c>
      <c r="C264" s="14" t="s">
        <v>292</v>
      </c>
      <c r="D264" s="14" t="s">
        <v>3489</v>
      </c>
      <c r="E264" s="14" t="s">
        <v>1118</v>
      </c>
      <c r="F264" s="14" t="s">
        <v>1305</v>
      </c>
      <c r="G264" s="14" t="s">
        <v>1754</v>
      </c>
      <c r="H264" s="14" t="s">
        <v>2071</v>
      </c>
      <c r="I264">
        <v>68234278</v>
      </c>
      <c r="J264" s="14" t="s">
        <v>45</v>
      </c>
      <c r="K264" s="15">
        <v>45344</v>
      </c>
      <c r="L264" s="14" t="s">
        <v>2847</v>
      </c>
      <c r="M264" t="s">
        <v>3501</v>
      </c>
      <c r="N264" s="15">
        <v>45366</v>
      </c>
      <c r="O264" s="14"/>
      <c r="P264">
        <v>107</v>
      </c>
    </row>
    <row r="265" spans="1:16" x14ac:dyDescent="0.3">
      <c r="A265">
        <v>264</v>
      </c>
      <c r="B265" s="14" t="s">
        <v>2485</v>
      </c>
      <c r="C265" s="14" t="s">
        <v>293</v>
      </c>
      <c r="D265" s="14" t="s">
        <v>3490</v>
      </c>
      <c r="E265" s="14" t="s">
        <v>1118</v>
      </c>
      <c r="F265" s="14" t="s">
        <v>1305</v>
      </c>
      <c r="G265" s="14" t="s">
        <v>1755</v>
      </c>
      <c r="H265" s="14" t="s">
        <v>2070</v>
      </c>
      <c r="I265">
        <v>962008607</v>
      </c>
      <c r="J265" s="14" t="s">
        <v>45</v>
      </c>
      <c r="K265" s="15">
        <v>45344</v>
      </c>
      <c r="L265" s="14" t="s">
        <v>2848</v>
      </c>
      <c r="M265" t="s">
        <v>3500</v>
      </c>
      <c r="N265" s="15">
        <v>45349</v>
      </c>
      <c r="O265" s="14"/>
      <c r="P265">
        <v>107</v>
      </c>
    </row>
    <row r="266" spans="1:16" x14ac:dyDescent="0.3">
      <c r="A266">
        <v>265</v>
      </c>
      <c r="B266" s="14" t="s">
        <v>2486</v>
      </c>
      <c r="C266" s="14" t="s">
        <v>294</v>
      </c>
      <c r="D266" s="14" t="s">
        <v>3489</v>
      </c>
      <c r="E266" s="14" t="s">
        <v>1118</v>
      </c>
      <c r="F266" s="14" t="s">
        <v>1208</v>
      </c>
      <c r="G266" s="14" t="s">
        <v>1756</v>
      </c>
      <c r="H266" s="14" t="s">
        <v>1811</v>
      </c>
      <c r="I266">
        <v>77395637</v>
      </c>
      <c r="J266" s="14" t="s">
        <v>35</v>
      </c>
      <c r="K266" s="15">
        <v>45344</v>
      </c>
      <c r="L266" s="14" t="s">
        <v>2848</v>
      </c>
      <c r="M266" t="s">
        <v>3500</v>
      </c>
      <c r="N266" s="15">
        <v>45345</v>
      </c>
      <c r="O266" s="14"/>
      <c r="P266">
        <v>107</v>
      </c>
    </row>
    <row r="267" spans="1:16" x14ac:dyDescent="0.3">
      <c r="A267">
        <v>266</v>
      </c>
      <c r="B267" s="14" t="s">
        <v>2487</v>
      </c>
      <c r="C267" s="14" t="s">
        <v>295</v>
      </c>
      <c r="D267" s="14" t="s">
        <v>3489</v>
      </c>
      <c r="E267" s="14" t="s">
        <v>1114</v>
      </c>
      <c r="F267" s="14" t="s">
        <v>1306</v>
      </c>
      <c r="G267" s="14" t="s">
        <v>1757</v>
      </c>
      <c r="H267" s="14" t="s">
        <v>2061</v>
      </c>
      <c r="I267">
        <v>882261390</v>
      </c>
      <c r="J267" s="14" t="s">
        <v>3525</v>
      </c>
      <c r="K267" s="15">
        <v>45344</v>
      </c>
      <c r="L267" s="14" t="s">
        <v>2845</v>
      </c>
      <c r="M267" t="s">
        <v>3500</v>
      </c>
      <c r="N267" s="15">
        <v>45345</v>
      </c>
      <c r="O267" s="14"/>
      <c r="P267">
        <v>107</v>
      </c>
    </row>
    <row r="268" spans="1:16" x14ac:dyDescent="0.3">
      <c r="A268">
        <v>267</v>
      </c>
      <c r="B268" s="14" t="s">
        <v>2488</v>
      </c>
      <c r="C268" s="14" t="s">
        <v>296</v>
      </c>
      <c r="D268" s="14" t="s">
        <v>3490</v>
      </c>
      <c r="E268" s="14" t="s">
        <v>1118</v>
      </c>
      <c r="F268" s="14" t="s">
        <v>1307</v>
      </c>
      <c r="G268" s="14" t="s">
        <v>1758</v>
      </c>
      <c r="H268" s="14"/>
      <c r="I268" t="s">
        <v>797</v>
      </c>
      <c r="J268" s="14" t="s">
        <v>57</v>
      </c>
      <c r="K268" s="15">
        <v>45344</v>
      </c>
      <c r="L268" s="14" t="s">
        <v>2845</v>
      </c>
      <c r="M268" t="s">
        <v>3523</v>
      </c>
      <c r="N268" s="15"/>
      <c r="O268" s="14"/>
      <c r="P268">
        <v>107</v>
      </c>
    </row>
    <row r="269" spans="1:16" x14ac:dyDescent="0.3">
      <c r="A269">
        <v>268</v>
      </c>
      <c r="B269" s="14" t="s">
        <v>2489</v>
      </c>
      <c r="C269" s="14" t="s">
        <v>297</v>
      </c>
      <c r="D269" s="14" t="s">
        <v>3489</v>
      </c>
      <c r="E269" s="14" t="s">
        <v>1113</v>
      </c>
      <c r="F269" s="14" t="s">
        <v>1308</v>
      </c>
      <c r="G269" s="14" t="s">
        <v>1759</v>
      </c>
      <c r="H269" s="14" t="s">
        <v>2088</v>
      </c>
      <c r="I269">
        <v>17333968</v>
      </c>
      <c r="J269" s="14" t="s">
        <v>3525</v>
      </c>
      <c r="K269" s="15">
        <v>45345</v>
      </c>
      <c r="L269" s="14" t="s">
        <v>2846</v>
      </c>
      <c r="M269" t="s">
        <v>3501</v>
      </c>
      <c r="N269" s="15">
        <v>45358</v>
      </c>
      <c r="O269" s="14" t="s">
        <v>2852</v>
      </c>
      <c r="P269">
        <v>13</v>
      </c>
    </row>
    <row r="270" spans="1:16" x14ac:dyDescent="0.3">
      <c r="A270">
        <v>269</v>
      </c>
      <c r="B270" s="14" t="s">
        <v>2490</v>
      </c>
      <c r="C270" s="14" t="s">
        <v>298</v>
      </c>
      <c r="D270" s="14" t="s">
        <v>3490</v>
      </c>
      <c r="E270" s="14" t="s">
        <v>1118</v>
      </c>
      <c r="F270" s="14" t="s">
        <v>1169</v>
      </c>
      <c r="G270" s="14" t="s">
        <v>1760</v>
      </c>
      <c r="H270" s="14" t="s">
        <v>2088</v>
      </c>
      <c r="I270">
        <v>89672671</v>
      </c>
      <c r="J270" s="14" t="s">
        <v>29</v>
      </c>
      <c r="K270" s="15">
        <v>45345</v>
      </c>
      <c r="L270" s="14" t="s">
        <v>2846</v>
      </c>
      <c r="M270" t="s">
        <v>3501</v>
      </c>
      <c r="N270" s="15">
        <v>45358</v>
      </c>
      <c r="O270" s="14" t="s">
        <v>3521</v>
      </c>
      <c r="P270">
        <v>13</v>
      </c>
    </row>
    <row r="271" spans="1:16" x14ac:dyDescent="0.3">
      <c r="A271">
        <v>270</v>
      </c>
      <c r="B271" s="14" t="s">
        <v>2491</v>
      </c>
      <c r="C271" s="14" t="s">
        <v>299</v>
      </c>
      <c r="D271" s="14" t="s">
        <v>3489</v>
      </c>
      <c r="E271" s="14" t="s">
        <v>1118</v>
      </c>
      <c r="F271" s="14" t="s">
        <v>49</v>
      </c>
      <c r="G271" s="14" t="s">
        <v>1761</v>
      </c>
      <c r="H271" s="14" t="s">
        <v>2088</v>
      </c>
      <c r="I271">
        <v>86366336</v>
      </c>
      <c r="J271" s="14" t="s">
        <v>36</v>
      </c>
      <c r="K271" s="15">
        <v>45345</v>
      </c>
      <c r="L271" s="14" t="s">
        <v>2848</v>
      </c>
      <c r="M271" t="s">
        <v>3523</v>
      </c>
      <c r="N271" s="15"/>
      <c r="O271" s="14"/>
      <c r="P271">
        <v>106</v>
      </c>
    </row>
    <row r="272" spans="1:16" x14ac:dyDescent="0.3">
      <c r="A272">
        <v>271</v>
      </c>
      <c r="B272" s="14" t="s">
        <v>2492</v>
      </c>
      <c r="C272" s="14" t="s">
        <v>300</v>
      </c>
      <c r="D272" s="14" t="s">
        <v>3489</v>
      </c>
      <c r="E272" s="14" t="s">
        <v>1118</v>
      </c>
      <c r="F272" s="14" t="s">
        <v>1309</v>
      </c>
      <c r="G272" s="14" t="s">
        <v>1762</v>
      </c>
      <c r="H272" s="14"/>
      <c r="I272">
        <v>99946439</v>
      </c>
      <c r="J272" s="14" t="s">
        <v>35</v>
      </c>
      <c r="K272" s="15">
        <v>45345</v>
      </c>
      <c r="L272" s="14" t="s">
        <v>2848</v>
      </c>
      <c r="M272" t="s">
        <v>3523</v>
      </c>
      <c r="N272" s="15"/>
      <c r="O272" s="14"/>
      <c r="P272">
        <v>106</v>
      </c>
    </row>
    <row r="273" spans="1:16" x14ac:dyDescent="0.3">
      <c r="A273">
        <v>272</v>
      </c>
      <c r="B273" s="14" t="s">
        <v>2493</v>
      </c>
      <c r="C273" s="14" t="s">
        <v>301</v>
      </c>
      <c r="D273" s="14" t="s">
        <v>3490</v>
      </c>
      <c r="E273" s="14" t="s">
        <v>1118</v>
      </c>
      <c r="F273" s="14" t="s">
        <v>1310</v>
      </c>
      <c r="G273" s="14" t="s">
        <v>1763</v>
      </c>
      <c r="H273" s="14" t="s">
        <v>2088</v>
      </c>
      <c r="I273">
        <v>89837728</v>
      </c>
      <c r="J273" s="14" t="s">
        <v>72</v>
      </c>
      <c r="K273" s="15">
        <v>45346</v>
      </c>
      <c r="L273" s="14" t="s">
        <v>2846</v>
      </c>
      <c r="M273" t="s">
        <v>3523</v>
      </c>
      <c r="N273" s="15"/>
      <c r="O273" s="14"/>
      <c r="P273">
        <v>105</v>
      </c>
    </row>
    <row r="274" spans="1:16" x14ac:dyDescent="0.3">
      <c r="A274">
        <v>273</v>
      </c>
      <c r="B274" s="14" t="s">
        <v>2494</v>
      </c>
      <c r="C274" s="14" t="s">
        <v>302</v>
      </c>
      <c r="D274" s="14" t="s">
        <v>3489</v>
      </c>
      <c r="E274" s="14" t="s">
        <v>1118</v>
      </c>
      <c r="F274" s="14" t="s">
        <v>1311</v>
      </c>
      <c r="G274" s="14" t="s">
        <v>1764</v>
      </c>
      <c r="H274" s="14" t="s">
        <v>2075</v>
      </c>
      <c r="I274">
        <v>87333606</v>
      </c>
      <c r="J274" s="14" t="s">
        <v>45</v>
      </c>
      <c r="K274" s="15">
        <v>45348</v>
      </c>
      <c r="L274" s="14" t="s">
        <v>2848</v>
      </c>
      <c r="M274" t="s">
        <v>3523</v>
      </c>
      <c r="N274" s="15"/>
      <c r="O274" s="14"/>
      <c r="P274">
        <v>103</v>
      </c>
    </row>
    <row r="275" spans="1:16" x14ac:dyDescent="0.3">
      <c r="A275">
        <v>274</v>
      </c>
      <c r="B275" s="14" t="s">
        <v>2495</v>
      </c>
      <c r="C275" s="14" t="s">
        <v>303</v>
      </c>
      <c r="D275" s="14" t="s">
        <v>3489</v>
      </c>
      <c r="E275" s="14" t="s">
        <v>1118</v>
      </c>
      <c r="F275" s="14" t="s">
        <v>1286</v>
      </c>
      <c r="G275" s="14" t="s">
        <v>1761</v>
      </c>
      <c r="H275" s="14" t="s">
        <v>2088</v>
      </c>
      <c r="I275">
        <v>978456661</v>
      </c>
      <c r="J275" s="14" t="s">
        <v>57</v>
      </c>
      <c r="K275" s="15">
        <v>45348</v>
      </c>
      <c r="L275" s="14" t="s">
        <v>2845</v>
      </c>
      <c r="M275" t="s">
        <v>3500</v>
      </c>
      <c r="N275" s="15">
        <v>45349</v>
      </c>
      <c r="O275" s="14" t="s">
        <v>3521</v>
      </c>
      <c r="P275">
        <v>1</v>
      </c>
    </row>
    <row r="276" spans="1:16" x14ac:dyDescent="0.3">
      <c r="A276">
        <v>275</v>
      </c>
      <c r="B276" s="14" t="s">
        <v>2496</v>
      </c>
      <c r="C276" s="14" t="s">
        <v>304</v>
      </c>
      <c r="D276" s="14" t="s">
        <v>3490</v>
      </c>
      <c r="E276" s="14" t="s">
        <v>1118</v>
      </c>
      <c r="F276" s="14" t="s">
        <v>1270</v>
      </c>
      <c r="G276" s="14" t="s">
        <v>1765</v>
      </c>
      <c r="H276" s="14" t="s">
        <v>2058</v>
      </c>
      <c r="I276">
        <v>70844756</v>
      </c>
      <c r="J276" s="14" t="s">
        <v>72</v>
      </c>
      <c r="K276" s="15">
        <v>45348</v>
      </c>
      <c r="L276" s="14" t="s">
        <v>2848</v>
      </c>
      <c r="M276" t="s">
        <v>3500</v>
      </c>
      <c r="N276" s="15">
        <v>45351</v>
      </c>
      <c r="O276" s="14" t="s">
        <v>3521</v>
      </c>
      <c r="P276">
        <v>3</v>
      </c>
    </row>
    <row r="277" spans="1:16" x14ac:dyDescent="0.3">
      <c r="A277">
        <v>276</v>
      </c>
      <c r="B277" s="14" t="s">
        <v>2497</v>
      </c>
      <c r="C277" s="14" t="s">
        <v>2182</v>
      </c>
      <c r="D277" s="14" t="s">
        <v>3489</v>
      </c>
      <c r="E277" s="14" t="s">
        <v>1118</v>
      </c>
      <c r="F277" s="14" t="s">
        <v>1312</v>
      </c>
      <c r="G277" s="14" t="s">
        <v>1766</v>
      </c>
      <c r="H277" s="14" t="s">
        <v>2088</v>
      </c>
      <c r="I277" t="s">
        <v>798</v>
      </c>
      <c r="J277" s="14" t="s">
        <v>45</v>
      </c>
      <c r="K277" s="15">
        <v>45348</v>
      </c>
      <c r="L277" s="14" t="s">
        <v>3539</v>
      </c>
      <c r="M277" t="s">
        <v>3500</v>
      </c>
      <c r="N277" s="15">
        <v>45355</v>
      </c>
      <c r="O277" s="14" t="s">
        <v>3521</v>
      </c>
      <c r="P277">
        <v>7</v>
      </c>
    </row>
    <row r="278" spans="1:16" x14ac:dyDescent="0.3">
      <c r="A278">
        <v>277</v>
      </c>
      <c r="B278" s="14" t="s">
        <v>2498</v>
      </c>
      <c r="C278" s="14" t="s">
        <v>305</v>
      </c>
      <c r="D278" s="14" t="s">
        <v>3489</v>
      </c>
      <c r="E278" s="14" t="s">
        <v>1118</v>
      </c>
      <c r="F278" s="14" t="s">
        <v>1313</v>
      </c>
      <c r="G278" s="14" t="s">
        <v>1767</v>
      </c>
      <c r="H278" s="14"/>
      <c r="I278" t="s">
        <v>799</v>
      </c>
      <c r="J278" s="14" t="s">
        <v>29</v>
      </c>
      <c r="K278" s="15">
        <v>45348</v>
      </c>
      <c r="L278" s="14" t="s">
        <v>3539</v>
      </c>
      <c r="M278" t="s">
        <v>3523</v>
      </c>
      <c r="N278" s="15"/>
      <c r="O278" s="14"/>
      <c r="P278">
        <v>103</v>
      </c>
    </row>
    <row r="279" spans="1:16" x14ac:dyDescent="0.3">
      <c r="A279">
        <v>278</v>
      </c>
      <c r="B279" s="14" t="s">
        <v>2499</v>
      </c>
      <c r="C279" s="14" t="s">
        <v>306</v>
      </c>
      <c r="D279" s="14" t="s">
        <v>3490</v>
      </c>
      <c r="E279" s="14" t="s">
        <v>1118</v>
      </c>
      <c r="F279" s="14" t="s">
        <v>1314</v>
      </c>
      <c r="G279" s="14" t="s">
        <v>1768</v>
      </c>
      <c r="H279" s="14"/>
      <c r="I279" t="s">
        <v>800</v>
      </c>
      <c r="J279" s="14" t="s">
        <v>20</v>
      </c>
      <c r="K279" s="15">
        <v>45349</v>
      </c>
      <c r="L279" s="14" t="s">
        <v>2846</v>
      </c>
      <c r="M279" t="s">
        <v>3523</v>
      </c>
      <c r="N279" s="15"/>
      <c r="O279" s="14"/>
      <c r="P279">
        <v>102</v>
      </c>
    </row>
    <row r="280" spans="1:16" x14ac:dyDescent="0.3">
      <c r="A280">
        <v>279</v>
      </c>
      <c r="B280" s="14" t="s">
        <v>2500</v>
      </c>
      <c r="C280" s="14" t="s">
        <v>307</v>
      </c>
      <c r="D280" s="14" t="s">
        <v>3490</v>
      </c>
      <c r="E280" s="14" t="s">
        <v>1118</v>
      </c>
      <c r="F280" s="14" t="s">
        <v>1315</v>
      </c>
      <c r="G280" s="14" t="s">
        <v>1591</v>
      </c>
      <c r="H280" s="14"/>
      <c r="I280" t="s">
        <v>801</v>
      </c>
      <c r="J280" s="14" t="s">
        <v>30</v>
      </c>
      <c r="K280" s="15">
        <v>45349</v>
      </c>
      <c r="L280" s="14" t="s">
        <v>2848</v>
      </c>
      <c r="M280" t="s">
        <v>3523</v>
      </c>
      <c r="N280" s="15"/>
      <c r="O280" s="14"/>
      <c r="P280">
        <v>102</v>
      </c>
    </row>
    <row r="281" spans="1:16" x14ac:dyDescent="0.3">
      <c r="A281">
        <v>280</v>
      </c>
      <c r="B281" s="14" t="s">
        <v>2501</v>
      </c>
      <c r="C281" s="14" t="s">
        <v>308</v>
      </c>
      <c r="D281" s="14" t="s">
        <v>3490</v>
      </c>
      <c r="E281" s="14" t="s">
        <v>1118</v>
      </c>
      <c r="F281" s="14" t="s">
        <v>1316</v>
      </c>
      <c r="G281" s="14" t="s">
        <v>1769</v>
      </c>
      <c r="H281" s="14" t="s">
        <v>2088</v>
      </c>
      <c r="I281" t="s">
        <v>802</v>
      </c>
      <c r="J281" s="14" t="s">
        <v>1213</v>
      </c>
      <c r="K281" s="15">
        <v>45349</v>
      </c>
      <c r="L281" s="14" t="s">
        <v>2845</v>
      </c>
      <c r="M281" t="s">
        <v>3500</v>
      </c>
      <c r="N281" s="15">
        <v>45349</v>
      </c>
      <c r="O281" s="14" t="s">
        <v>3521</v>
      </c>
      <c r="P281">
        <v>0</v>
      </c>
    </row>
    <row r="282" spans="1:16" x14ac:dyDescent="0.3">
      <c r="A282">
        <v>281</v>
      </c>
      <c r="B282" s="14" t="s">
        <v>2502</v>
      </c>
      <c r="C282" s="14" t="s">
        <v>309</v>
      </c>
      <c r="D282" s="14" t="s">
        <v>3490</v>
      </c>
      <c r="E282" s="14" t="s">
        <v>1113</v>
      </c>
      <c r="F282" s="14" t="s">
        <v>1317</v>
      </c>
      <c r="G282" s="14" t="s">
        <v>1770</v>
      </c>
      <c r="H282" s="14" t="s">
        <v>2052</v>
      </c>
      <c r="I282" t="s">
        <v>803</v>
      </c>
      <c r="J282" s="14" t="s">
        <v>45</v>
      </c>
      <c r="K282" s="15">
        <v>45350</v>
      </c>
      <c r="L282" s="14" t="s">
        <v>3539</v>
      </c>
      <c r="M282" t="s">
        <v>3524</v>
      </c>
      <c r="N282" s="15"/>
      <c r="O282" s="14" t="s">
        <v>3521</v>
      </c>
    </row>
    <row r="283" spans="1:16" x14ac:dyDescent="0.3">
      <c r="A283">
        <v>282</v>
      </c>
      <c r="B283" s="14" t="s">
        <v>2503</v>
      </c>
      <c r="C283" s="14" t="s">
        <v>2183</v>
      </c>
      <c r="D283" s="14" t="s">
        <v>3490</v>
      </c>
      <c r="E283" s="14" t="s">
        <v>1118</v>
      </c>
      <c r="F283" s="14" t="s">
        <v>1318</v>
      </c>
      <c r="G283" s="14" t="s">
        <v>1771</v>
      </c>
      <c r="H283" s="14" t="s">
        <v>2088</v>
      </c>
      <c r="I283" t="s">
        <v>804</v>
      </c>
      <c r="J283" s="14" t="s">
        <v>30</v>
      </c>
      <c r="K283" s="15">
        <v>45350</v>
      </c>
      <c r="L283" s="14" t="s">
        <v>2848</v>
      </c>
      <c r="M283" t="s">
        <v>3523</v>
      </c>
      <c r="N283" s="15"/>
      <c r="O283" s="14"/>
      <c r="P283">
        <v>101</v>
      </c>
    </row>
    <row r="284" spans="1:16" x14ac:dyDescent="0.3">
      <c r="A284">
        <v>283</v>
      </c>
      <c r="B284" s="14" t="s">
        <v>2504</v>
      </c>
      <c r="C284" s="14" t="s">
        <v>2184</v>
      </c>
      <c r="D284" s="14" t="s">
        <v>3490</v>
      </c>
      <c r="E284" s="14" t="s">
        <v>1118</v>
      </c>
      <c r="F284" s="14" t="s">
        <v>1</v>
      </c>
      <c r="G284" s="14" t="s">
        <v>1772</v>
      </c>
      <c r="H284" s="14"/>
      <c r="I284" t="s">
        <v>805</v>
      </c>
      <c r="J284" s="14" t="s">
        <v>30</v>
      </c>
      <c r="K284" s="15">
        <v>45350</v>
      </c>
      <c r="L284" s="14" t="s">
        <v>2848</v>
      </c>
      <c r="M284" t="s">
        <v>3523</v>
      </c>
      <c r="N284" s="15"/>
      <c r="O284" s="14"/>
      <c r="P284">
        <v>101</v>
      </c>
    </row>
    <row r="285" spans="1:16" x14ac:dyDescent="0.3">
      <c r="A285">
        <v>284</v>
      </c>
      <c r="B285" s="14" t="s">
        <v>2505</v>
      </c>
      <c r="C285" s="14" t="s">
        <v>2185</v>
      </c>
      <c r="D285" s="14" t="s">
        <v>3490</v>
      </c>
      <c r="E285" s="14" t="s">
        <v>1118</v>
      </c>
      <c r="F285" s="14" t="s">
        <v>1319</v>
      </c>
      <c r="G285" s="14" t="s">
        <v>1773</v>
      </c>
      <c r="H285" s="14"/>
      <c r="I285" t="s">
        <v>806</v>
      </c>
      <c r="J285" s="14" t="s">
        <v>35</v>
      </c>
      <c r="K285" s="15">
        <v>45350</v>
      </c>
      <c r="L285" s="14" t="s">
        <v>2848</v>
      </c>
      <c r="M285" t="s">
        <v>3523</v>
      </c>
      <c r="N285" s="15"/>
      <c r="O285" s="14"/>
      <c r="P285">
        <v>101</v>
      </c>
    </row>
    <row r="286" spans="1:16" x14ac:dyDescent="0.3">
      <c r="A286">
        <v>285</v>
      </c>
      <c r="B286" s="14" t="s">
        <v>2506</v>
      </c>
      <c r="C286" s="14" t="s">
        <v>2186</v>
      </c>
      <c r="D286" s="14" t="s">
        <v>3490</v>
      </c>
      <c r="E286" s="14" t="s">
        <v>1118</v>
      </c>
      <c r="F286" s="14" t="s">
        <v>1320</v>
      </c>
      <c r="G286" s="14" t="s">
        <v>1774</v>
      </c>
      <c r="H286" s="14"/>
      <c r="I286" t="s">
        <v>807</v>
      </c>
      <c r="J286" s="14" t="s">
        <v>20</v>
      </c>
      <c r="K286" s="15">
        <v>45351</v>
      </c>
      <c r="L286" s="14" t="s">
        <v>2846</v>
      </c>
      <c r="M286" t="s">
        <v>3524</v>
      </c>
      <c r="N286" s="15"/>
      <c r="O286" s="14" t="s">
        <v>3521</v>
      </c>
    </row>
    <row r="287" spans="1:16" x14ac:dyDescent="0.3">
      <c r="A287">
        <v>286</v>
      </c>
      <c r="B287" s="14" t="s">
        <v>2507</v>
      </c>
      <c r="C287" s="14" t="s">
        <v>310</v>
      </c>
      <c r="D287" s="14" t="s">
        <v>3490</v>
      </c>
      <c r="E287" s="14" t="s">
        <v>1113</v>
      </c>
      <c r="F287" s="14" t="s">
        <v>1321</v>
      </c>
      <c r="G287" s="14" t="s">
        <v>1775</v>
      </c>
      <c r="H287" s="14"/>
      <c r="I287" t="s">
        <v>808</v>
      </c>
      <c r="J287" s="14" t="s">
        <v>36</v>
      </c>
      <c r="K287" s="15">
        <v>45351</v>
      </c>
      <c r="L287" s="14" t="s">
        <v>2846</v>
      </c>
      <c r="M287" t="s">
        <v>3524</v>
      </c>
      <c r="N287" s="15"/>
      <c r="O287" s="14" t="s">
        <v>3521</v>
      </c>
    </row>
    <row r="288" spans="1:16" x14ac:dyDescent="0.3">
      <c r="A288">
        <v>287</v>
      </c>
      <c r="B288" s="14" t="s">
        <v>2508</v>
      </c>
      <c r="C288" s="14" t="s">
        <v>2187</v>
      </c>
      <c r="D288" s="14" t="s">
        <v>3490</v>
      </c>
      <c r="E288" s="14" t="s">
        <v>1114</v>
      </c>
      <c r="F288" s="14"/>
      <c r="G288" s="14"/>
      <c r="H288" s="14" t="s">
        <v>704</v>
      </c>
      <c r="I288" t="s">
        <v>809</v>
      </c>
      <c r="J288" s="14" t="s">
        <v>55</v>
      </c>
      <c r="K288" s="15">
        <v>45351</v>
      </c>
      <c r="L288" s="14" t="s">
        <v>2848</v>
      </c>
      <c r="M288" t="s">
        <v>3500</v>
      </c>
      <c r="N288" s="15">
        <v>45355</v>
      </c>
      <c r="O288" s="14" t="s">
        <v>3521</v>
      </c>
      <c r="P288">
        <v>4</v>
      </c>
    </row>
    <row r="289" spans="1:16" x14ac:dyDescent="0.3">
      <c r="A289">
        <v>288</v>
      </c>
      <c r="B289" s="14" t="s">
        <v>2509</v>
      </c>
      <c r="C289" s="14" t="s">
        <v>2188</v>
      </c>
      <c r="D289" s="14" t="s">
        <v>3490</v>
      </c>
      <c r="E289" s="14" t="s">
        <v>1118</v>
      </c>
      <c r="F289" s="14" t="s">
        <v>1149</v>
      </c>
      <c r="G289" s="14" t="s">
        <v>1776</v>
      </c>
      <c r="H289" s="14" t="s">
        <v>2076</v>
      </c>
      <c r="I289" t="s">
        <v>810</v>
      </c>
      <c r="J289" s="14" t="s">
        <v>30</v>
      </c>
      <c r="K289" s="15">
        <v>45351</v>
      </c>
      <c r="L289" s="14" t="s">
        <v>2848</v>
      </c>
      <c r="M289" t="s">
        <v>3500</v>
      </c>
      <c r="N289" s="15">
        <v>45358</v>
      </c>
      <c r="O289" s="14"/>
      <c r="P289">
        <v>100</v>
      </c>
    </row>
    <row r="290" spans="1:16" x14ac:dyDescent="0.3">
      <c r="A290">
        <v>289</v>
      </c>
      <c r="B290" s="14" t="s">
        <v>2510</v>
      </c>
      <c r="C290" s="14" t="s">
        <v>311</v>
      </c>
      <c r="D290" s="14" t="s">
        <v>3490</v>
      </c>
      <c r="E290" s="14" t="s">
        <v>1114</v>
      </c>
      <c r="F290" s="14"/>
      <c r="G290" s="14" t="s">
        <v>1777</v>
      </c>
      <c r="H290" s="14" t="s">
        <v>704</v>
      </c>
      <c r="I290" t="s">
        <v>811</v>
      </c>
      <c r="J290" s="14" t="s">
        <v>55</v>
      </c>
      <c r="K290" s="15">
        <v>45351</v>
      </c>
      <c r="L290" s="14" t="s">
        <v>2848</v>
      </c>
      <c r="M290" t="s">
        <v>3500</v>
      </c>
      <c r="N290" s="15">
        <v>45364</v>
      </c>
      <c r="O290" s="14" t="s">
        <v>3521</v>
      </c>
      <c r="P290">
        <v>13</v>
      </c>
    </row>
    <row r="291" spans="1:16" x14ac:dyDescent="0.3">
      <c r="A291">
        <v>290</v>
      </c>
      <c r="B291" s="14" t="s">
        <v>2511</v>
      </c>
      <c r="C291" s="14" t="s">
        <v>312</v>
      </c>
      <c r="D291" s="14" t="s">
        <v>3490</v>
      </c>
      <c r="E291" s="14" t="s">
        <v>1118</v>
      </c>
      <c r="F291" s="14" t="s">
        <v>1322</v>
      </c>
      <c r="G291" s="14" t="s">
        <v>1778</v>
      </c>
      <c r="H291" s="14" t="s">
        <v>2077</v>
      </c>
      <c r="I291">
        <v>70434384</v>
      </c>
      <c r="J291" s="14" t="s">
        <v>30</v>
      </c>
      <c r="K291" s="15">
        <v>45352</v>
      </c>
      <c r="L291" s="14" t="s">
        <v>3539</v>
      </c>
      <c r="M291" t="s">
        <v>3500</v>
      </c>
      <c r="N291" s="15">
        <v>45358</v>
      </c>
      <c r="O291" s="14"/>
      <c r="P291">
        <v>99</v>
      </c>
    </row>
    <row r="292" spans="1:16" x14ac:dyDescent="0.3">
      <c r="A292">
        <v>291</v>
      </c>
      <c r="B292" s="14" t="s">
        <v>2512</v>
      </c>
      <c r="C292" s="14" t="s">
        <v>313</v>
      </c>
      <c r="D292" s="14" t="s">
        <v>3490</v>
      </c>
      <c r="E292" s="14" t="s">
        <v>1118</v>
      </c>
      <c r="F292" s="14" t="s">
        <v>1322</v>
      </c>
      <c r="G292" s="14" t="s">
        <v>1779</v>
      </c>
      <c r="H292" s="14" t="s">
        <v>2061</v>
      </c>
      <c r="I292">
        <v>78396565</v>
      </c>
      <c r="J292" s="14" t="s">
        <v>30</v>
      </c>
      <c r="K292" s="15">
        <v>45352</v>
      </c>
      <c r="L292" s="14" t="s">
        <v>3539</v>
      </c>
      <c r="M292" t="s">
        <v>3500</v>
      </c>
      <c r="N292" s="15">
        <v>45358</v>
      </c>
      <c r="O292" s="14"/>
      <c r="P292">
        <v>99</v>
      </c>
    </row>
    <row r="293" spans="1:16" x14ac:dyDescent="0.3">
      <c r="A293">
        <v>292</v>
      </c>
      <c r="B293" s="14" t="s">
        <v>2513</v>
      </c>
      <c r="C293" s="14" t="s">
        <v>314</v>
      </c>
      <c r="D293" s="14" t="s">
        <v>3490</v>
      </c>
      <c r="E293" s="14" t="s">
        <v>1118</v>
      </c>
      <c r="F293" s="14" t="s">
        <v>1149</v>
      </c>
      <c r="G293" s="14" t="s">
        <v>1763</v>
      </c>
      <c r="H293" s="14" t="s">
        <v>2078</v>
      </c>
      <c r="I293" t="s">
        <v>812</v>
      </c>
      <c r="J293" s="14" t="s">
        <v>30</v>
      </c>
      <c r="K293" s="15">
        <v>45352</v>
      </c>
      <c r="L293" s="14" t="s">
        <v>3539</v>
      </c>
      <c r="M293" t="s">
        <v>3501</v>
      </c>
      <c r="N293" s="15">
        <v>45369</v>
      </c>
      <c r="O293" s="14"/>
      <c r="P293">
        <v>99</v>
      </c>
    </row>
    <row r="294" spans="1:16" x14ac:dyDescent="0.3">
      <c r="A294">
        <v>293</v>
      </c>
      <c r="B294" s="14" t="s">
        <v>2514</v>
      </c>
      <c r="C294" s="14" t="s">
        <v>315</v>
      </c>
      <c r="D294" s="14" t="s">
        <v>3490</v>
      </c>
      <c r="E294" s="14" t="s">
        <v>1118</v>
      </c>
      <c r="F294" s="14" t="s">
        <v>1149</v>
      </c>
      <c r="G294" s="14" t="s">
        <v>1780</v>
      </c>
      <c r="H294" s="14" t="s">
        <v>2077</v>
      </c>
      <c r="I294">
        <v>968912355</v>
      </c>
      <c r="J294" s="14" t="s">
        <v>30</v>
      </c>
      <c r="K294" s="15">
        <v>45352</v>
      </c>
      <c r="L294" s="14" t="s">
        <v>3539</v>
      </c>
      <c r="M294" t="s">
        <v>3500</v>
      </c>
      <c r="N294" s="15">
        <v>45358</v>
      </c>
      <c r="O294" s="14" t="s">
        <v>3521</v>
      </c>
      <c r="P294">
        <v>6</v>
      </c>
    </row>
    <row r="295" spans="1:16" x14ac:dyDescent="0.3">
      <c r="A295">
        <v>294</v>
      </c>
      <c r="B295" s="14" t="s">
        <v>2515</v>
      </c>
      <c r="C295" s="14" t="s">
        <v>316</v>
      </c>
      <c r="D295" s="14" t="s">
        <v>3490</v>
      </c>
      <c r="E295" s="14" t="s">
        <v>1118</v>
      </c>
      <c r="F295" s="14" t="s">
        <v>1322</v>
      </c>
      <c r="G295" s="14" t="s">
        <v>1781</v>
      </c>
      <c r="H295" s="14" t="s">
        <v>2055</v>
      </c>
      <c r="I295">
        <v>98649002</v>
      </c>
      <c r="J295" s="14" t="s">
        <v>30</v>
      </c>
      <c r="K295" s="15">
        <v>45352</v>
      </c>
      <c r="L295" s="14" t="s">
        <v>2848</v>
      </c>
      <c r="M295" t="s">
        <v>3500</v>
      </c>
      <c r="N295" s="15">
        <v>45358</v>
      </c>
      <c r="O295" s="14" t="s">
        <v>3521</v>
      </c>
      <c r="P295">
        <v>6</v>
      </c>
    </row>
    <row r="296" spans="1:16" x14ac:dyDescent="0.3">
      <c r="A296">
        <v>295</v>
      </c>
      <c r="B296" s="14" t="s">
        <v>2516</v>
      </c>
      <c r="C296" s="14" t="s">
        <v>2189</v>
      </c>
      <c r="D296" s="14" t="s">
        <v>3490</v>
      </c>
      <c r="E296" s="14" t="s">
        <v>1118</v>
      </c>
      <c r="F296" s="14" t="s">
        <v>1</v>
      </c>
      <c r="G296" s="14" t="s">
        <v>1782</v>
      </c>
      <c r="H296" s="14" t="s">
        <v>2052</v>
      </c>
      <c r="I296">
        <v>717116503</v>
      </c>
      <c r="J296" s="14" t="s">
        <v>30</v>
      </c>
      <c r="K296" s="15">
        <v>45352</v>
      </c>
      <c r="L296" s="14" t="s">
        <v>3539</v>
      </c>
      <c r="M296" t="s">
        <v>3523</v>
      </c>
      <c r="N296" s="15"/>
      <c r="O296" s="14"/>
      <c r="P296">
        <v>99</v>
      </c>
    </row>
    <row r="297" spans="1:16" x14ac:dyDescent="0.3">
      <c r="A297">
        <v>296</v>
      </c>
      <c r="B297" s="14" t="s">
        <v>2517</v>
      </c>
      <c r="C297" s="14" t="s">
        <v>511</v>
      </c>
      <c r="D297" s="14" t="s">
        <v>3490</v>
      </c>
      <c r="E297" s="14" t="s">
        <v>1118</v>
      </c>
      <c r="F297" s="14" t="s">
        <v>1323</v>
      </c>
      <c r="G297" s="14" t="s">
        <v>1783</v>
      </c>
      <c r="H297" s="14"/>
      <c r="I297" t="s">
        <v>813</v>
      </c>
      <c r="J297" s="14" t="s">
        <v>72</v>
      </c>
      <c r="K297" s="15">
        <v>45352</v>
      </c>
      <c r="L297" s="14" t="s">
        <v>2846</v>
      </c>
      <c r="M297" t="s">
        <v>3523</v>
      </c>
      <c r="N297" s="15"/>
      <c r="O297" s="14"/>
      <c r="P297">
        <v>99</v>
      </c>
    </row>
    <row r="298" spans="1:16" x14ac:dyDescent="0.3">
      <c r="A298">
        <v>297</v>
      </c>
      <c r="B298" s="14" t="s">
        <v>2518</v>
      </c>
      <c r="C298" s="14" t="s">
        <v>299</v>
      </c>
      <c r="D298" s="14" t="s">
        <v>3489</v>
      </c>
      <c r="E298" s="14" t="s">
        <v>1118</v>
      </c>
      <c r="F298" s="14" t="s">
        <v>1208</v>
      </c>
      <c r="G298" s="14" t="s">
        <v>1761</v>
      </c>
      <c r="H298" s="14" t="s">
        <v>2088</v>
      </c>
      <c r="I298" t="s">
        <v>814</v>
      </c>
      <c r="J298" s="14" t="s">
        <v>36</v>
      </c>
      <c r="K298" s="15">
        <v>45352</v>
      </c>
      <c r="L298" s="14" t="s">
        <v>2848</v>
      </c>
      <c r="M298" t="s">
        <v>3500</v>
      </c>
      <c r="N298" s="15">
        <v>45377</v>
      </c>
      <c r="O298" s="14"/>
      <c r="P298">
        <v>99</v>
      </c>
    </row>
    <row r="299" spans="1:16" x14ac:dyDescent="0.3">
      <c r="A299">
        <v>298</v>
      </c>
      <c r="B299" s="14" t="s">
        <v>2519</v>
      </c>
      <c r="C299" s="14" t="s">
        <v>317</v>
      </c>
      <c r="D299" s="14"/>
      <c r="E299" s="14" t="s">
        <v>1119</v>
      </c>
      <c r="F299" s="14" t="s">
        <v>1208</v>
      </c>
      <c r="G299" s="14" t="s">
        <v>1784</v>
      </c>
      <c r="H299" s="14" t="s">
        <v>2079</v>
      </c>
      <c r="J299" s="14" t="s">
        <v>36</v>
      </c>
      <c r="K299" s="15">
        <v>45352</v>
      </c>
      <c r="L299" s="14" t="s">
        <v>2848</v>
      </c>
      <c r="M299" t="s">
        <v>3501</v>
      </c>
      <c r="N299" s="15">
        <v>45383</v>
      </c>
      <c r="O299" s="14"/>
      <c r="P299">
        <v>99</v>
      </c>
    </row>
    <row r="300" spans="1:16" x14ac:dyDescent="0.3">
      <c r="A300">
        <v>299</v>
      </c>
      <c r="B300" s="14" t="s">
        <v>2520</v>
      </c>
      <c r="C300" s="14" t="s">
        <v>2190</v>
      </c>
      <c r="D300" s="14" t="s">
        <v>3490</v>
      </c>
      <c r="E300" s="14" t="s">
        <v>1114</v>
      </c>
      <c r="F300" s="14" t="s">
        <v>1324</v>
      </c>
      <c r="G300" s="14" t="s">
        <v>1785</v>
      </c>
      <c r="H300" s="14"/>
      <c r="I300" t="s">
        <v>815</v>
      </c>
      <c r="J300" s="14" t="s">
        <v>30</v>
      </c>
      <c r="K300" s="15">
        <v>45353</v>
      </c>
      <c r="L300" s="14" t="s">
        <v>3539</v>
      </c>
      <c r="M300" t="s">
        <v>3523</v>
      </c>
      <c r="N300" s="15"/>
      <c r="O300" s="14"/>
      <c r="P300">
        <v>98</v>
      </c>
    </row>
    <row r="301" spans="1:16" x14ac:dyDescent="0.3">
      <c r="A301">
        <v>300</v>
      </c>
      <c r="B301" s="14" t="s">
        <v>2521</v>
      </c>
      <c r="C301" s="14" t="s">
        <v>318</v>
      </c>
      <c r="D301" s="14" t="s">
        <v>3490</v>
      </c>
      <c r="E301" s="14" t="s">
        <v>1118</v>
      </c>
      <c r="F301" s="14" t="s">
        <v>1322</v>
      </c>
      <c r="G301" s="14" t="s">
        <v>1786</v>
      </c>
      <c r="H301" s="14" t="s">
        <v>2077</v>
      </c>
      <c r="I301">
        <v>66698703</v>
      </c>
      <c r="J301" s="14" t="s">
        <v>30</v>
      </c>
      <c r="K301" s="15">
        <v>45354</v>
      </c>
      <c r="L301" s="14" t="s">
        <v>3539</v>
      </c>
      <c r="M301" t="s">
        <v>3500</v>
      </c>
      <c r="N301" s="15">
        <v>45358</v>
      </c>
      <c r="O301" s="14"/>
      <c r="P301">
        <v>97</v>
      </c>
    </row>
    <row r="302" spans="1:16" x14ac:dyDescent="0.3">
      <c r="A302">
        <v>301</v>
      </c>
      <c r="B302" s="14" t="s">
        <v>2522</v>
      </c>
      <c r="C302" s="14" t="s">
        <v>319</v>
      </c>
      <c r="D302" s="14" t="s">
        <v>3490</v>
      </c>
      <c r="E302" s="14" t="s">
        <v>1118</v>
      </c>
      <c r="F302" s="14" t="s">
        <v>1325</v>
      </c>
      <c r="G302" s="14" t="s">
        <v>1787</v>
      </c>
      <c r="H302" s="14"/>
      <c r="I302" t="s">
        <v>816</v>
      </c>
      <c r="J302" s="14" t="s">
        <v>30</v>
      </c>
      <c r="K302" s="15">
        <v>45354</v>
      </c>
      <c r="L302" s="14" t="s">
        <v>3539</v>
      </c>
      <c r="M302" t="s">
        <v>3523</v>
      </c>
      <c r="N302" s="15"/>
      <c r="O302" s="14"/>
      <c r="P302">
        <v>97</v>
      </c>
    </row>
    <row r="303" spans="1:16" x14ac:dyDescent="0.3">
      <c r="A303">
        <v>302</v>
      </c>
      <c r="B303" s="14" t="s">
        <v>2523</v>
      </c>
      <c r="C303" s="14" t="s">
        <v>320</v>
      </c>
      <c r="D303" s="14" t="s">
        <v>3489</v>
      </c>
      <c r="E303" s="14" t="s">
        <v>1118</v>
      </c>
      <c r="F303" s="14" t="s">
        <v>1326</v>
      </c>
      <c r="G303" s="14" t="s">
        <v>1788</v>
      </c>
      <c r="H303" s="14" t="s">
        <v>2088</v>
      </c>
      <c r="I303" t="s">
        <v>817</v>
      </c>
      <c r="J303" s="14" t="s">
        <v>45</v>
      </c>
      <c r="K303" s="15">
        <v>45355</v>
      </c>
      <c r="L303" s="14" t="s">
        <v>3539</v>
      </c>
      <c r="M303" t="s">
        <v>3523</v>
      </c>
      <c r="N303" s="15"/>
      <c r="O303" s="14"/>
      <c r="P303">
        <v>96</v>
      </c>
    </row>
    <row r="304" spans="1:16" x14ac:dyDescent="0.3">
      <c r="A304">
        <v>303</v>
      </c>
      <c r="B304" s="14" t="s">
        <v>2524</v>
      </c>
      <c r="C304" s="14" t="s">
        <v>2191</v>
      </c>
      <c r="D304" s="14" t="s">
        <v>3490</v>
      </c>
      <c r="E304" s="14" t="s">
        <v>1118</v>
      </c>
      <c r="F304" s="14" t="s">
        <v>1327</v>
      </c>
      <c r="G304" s="14" t="s">
        <v>1789</v>
      </c>
      <c r="H304" s="14" t="s">
        <v>2077</v>
      </c>
      <c r="I304" t="s">
        <v>818</v>
      </c>
      <c r="J304" s="14" t="s">
        <v>30</v>
      </c>
      <c r="K304" s="15">
        <v>45355</v>
      </c>
      <c r="L304" s="14" t="s">
        <v>3539</v>
      </c>
      <c r="M304" t="s">
        <v>3500</v>
      </c>
      <c r="N304" s="15">
        <v>45358</v>
      </c>
      <c r="O304" s="14"/>
      <c r="P304">
        <v>96</v>
      </c>
    </row>
    <row r="305" spans="1:16" x14ac:dyDescent="0.3">
      <c r="A305">
        <v>304</v>
      </c>
      <c r="B305" s="14" t="s">
        <v>2525</v>
      </c>
      <c r="C305" s="14" t="s">
        <v>321</v>
      </c>
      <c r="D305" s="14" t="s">
        <v>3490</v>
      </c>
      <c r="E305" s="14" t="s">
        <v>1118</v>
      </c>
      <c r="F305" s="14" t="s">
        <v>1328</v>
      </c>
      <c r="G305" s="14" t="s">
        <v>1790</v>
      </c>
      <c r="H305" s="14" t="s">
        <v>2052</v>
      </c>
      <c r="I305" t="s">
        <v>819</v>
      </c>
      <c r="J305" s="14" t="s">
        <v>20</v>
      </c>
      <c r="K305" s="15">
        <v>45355</v>
      </c>
      <c r="L305" s="14" t="s">
        <v>2846</v>
      </c>
      <c r="M305" t="s">
        <v>3524</v>
      </c>
      <c r="N305" s="15"/>
      <c r="O305" s="14" t="s">
        <v>3521</v>
      </c>
    </row>
    <row r="306" spans="1:16" x14ac:dyDescent="0.3">
      <c r="A306">
        <v>305</v>
      </c>
      <c r="B306" s="14" t="s">
        <v>2526</v>
      </c>
      <c r="C306" s="14" t="s">
        <v>2192</v>
      </c>
      <c r="D306" s="14" t="s">
        <v>3490</v>
      </c>
      <c r="E306" s="14" t="s">
        <v>1118</v>
      </c>
      <c r="F306" s="14" t="s">
        <v>1329</v>
      </c>
      <c r="G306" s="14" t="s">
        <v>1791</v>
      </c>
      <c r="H306" s="14" t="s">
        <v>2088</v>
      </c>
      <c r="I306" t="s">
        <v>820</v>
      </c>
      <c r="J306" s="14" t="s">
        <v>30</v>
      </c>
      <c r="K306" s="15">
        <v>45356</v>
      </c>
      <c r="L306" s="14" t="s">
        <v>3539</v>
      </c>
      <c r="M306" t="s">
        <v>3523</v>
      </c>
      <c r="N306" s="15"/>
      <c r="O306" s="14"/>
      <c r="P306">
        <v>95</v>
      </c>
    </row>
    <row r="307" spans="1:16" x14ac:dyDescent="0.3">
      <c r="A307">
        <v>306</v>
      </c>
      <c r="B307" s="14" t="s">
        <v>2527</v>
      </c>
      <c r="C307" s="14" t="s">
        <v>322</v>
      </c>
      <c r="D307" s="14" t="s">
        <v>3490</v>
      </c>
      <c r="E307" s="14" t="s">
        <v>1118</v>
      </c>
      <c r="F307" s="14" t="s">
        <v>1330</v>
      </c>
      <c r="G307" s="14" t="s">
        <v>1792</v>
      </c>
      <c r="H307" s="14"/>
      <c r="I307" t="s">
        <v>821</v>
      </c>
      <c r="J307" s="14" t="s">
        <v>30</v>
      </c>
      <c r="K307" s="15">
        <v>45356</v>
      </c>
      <c r="L307" s="14" t="s">
        <v>3539</v>
      </c>
      <c r="M307" t="s">
        <v>3523</v>
      </c>
      <c r="N307" s="15"/>
      <c r="O307" s="14"/>
      <c r="P307">
        <v>95</v>
      </c>
    </row>
    <row r="308" spans="1:16" x14ac:dyDescent="0.3">
      <c r="A308">
        <v>307</v>
      </c>
      <c r="B308" s="14" t="s">
        <v>2528</v>
      </c>
      <c r="C308" s="14" t="s">
        <v>323</v>
      </c>
      <c r="D308" s="14" t="s">
        <v>3490</v>
      </c>
      <c r="E308" s="14" t="s">
        <v>1118</v>
      </c>
      <c r="F308" s="14" t="s">
        <v>1331</v>
      </c>
      <c r="G308" s="14" t="s">
        <v>1793</v>
      </c>
      <c r="H308" s="14" t="s">
        <v>2052</v>
      </c>
      <c r="I308" t="s">
        <v>822</v>
      </c>
      <c r="J308" s="14" t="s">
        <v>36</v>
      </c>
      <c r="K308" s="15">
        <v>45356</v>
      </c>
      <c r="L308" s="14" t="s">
        <v>2845</v>
      </c>
      <c r="M308" t="s">
        <v>3523</v>
      </c>
      <c r="N308" s="15"/>
      <c r="O308" s="14"/>
      <c r="P308">
        <v>95</v>
      </c>
    </row>
    <row r="309" spans="1:16" x14ac:dyDescent="0.3">
      <c r="A309">
        <v>308</v>
      </c>
      <c r="B309" s="14" t="s">
        <v>2529</v>
      </c>
      <c r="C309" s="14" t="s">
        <v>324</v>
      </c>
      <c r="D309" s="14" t="s">
        <v>3490</v>
      </c>
      <c r="E309" s="14" t="s">
        <v>1118</v>
      </c>
      <c r="F309" s="14" t="s">
        <v>1332</v>
      </c>
      <c r="G309" s="14" t="s">
        <v>1794</v>
      </c>
      <c r="H309" s="14" t="s">
        <v>2061</v>
      </c>
      <c r="I309" t="s">
        <v>823</v>
      </c>
      <c r="J309" s="14" t="s">
        <v>45</v>
      </c>
      <c r="K309" s="15">
        <v>45356</v>
      </c>
      <c r="L309" s="14" t="s">
        <v>2848</v>
      </c>
      <c r="M309" t="s">
        <v>3500</v>
      </c>
      <c r="N309" s="15">
        <v>45355</v>
      </c>
      <c r="O309" s="14"/>
      <c r="P309">
        <v>95</v>
      </c>
    </row>
    <row r="310" spans="1:16" x14ac:dyDescent="0.3">
      <c r="A310">
        <v>309</v>
      </c>
      <c r="B310" s="14" t="s">
        <v>2530</v>
      </c>
      <c r="C310" s="14" t="s">
        <v>325</v>
      </c>
      <c r="D310" s="14" t="s">
        <v>3490</v>
      </c>
      <c r="E310" s="14" t="s">
        <v>1118</v>
      </c>
      <c r="F310" s="14" t="s">
        <v>1333</v>
      </c>
      <c r="G310" s="14" t="s">
        <v>1795</v>
      </c>
      <c r="H310" s="14"/>
      <c r="I310" t="s">
        <v>824</v>
      </c>
      <c r="J310" s="14" t="s">
        <v>29</v>
      </c>
      <c r="K310" s="15">
        <v>45357</v>
      </c>
      <c r="L310" s="14" t="s">
        <v>2846</v>
      </c>
      <c r="M310" t="s">
        <v>3523</v>
      </c>
      <c r="N310" s="15"/>
      <c r="O310" s="14"/>
      <c r="P310">
        <v>94</v>
      </c>
    </row>
    <row r="311" spans="1:16" x14ac:dyDescent="0.3">
      <c r="A311">
        <v>310</v>
      </c>
      <c r="B311" s="14" t="s">
        <v>2531</v>
      </c>
      <c r="C311" s="14" t="s">
        <v>326</v>
      </c>
      <c r="D311" s="14" t="s">
        <v>3490</v>
      </c>
      <c r="E311" s="14" t="s">
        <v>1118</v>
      </c>
      <c r="F311" s="14" t="s">
        <v>1334</v>
      </c>
      <c r="G311" s="14" t="s">
        <v>1796</v>
      </c>
      <c r="H311" s="14"/>
      <c r="I311" t="s">
        <v>825</v>
      </c>
      <c r="J311" s="14" t="s">
        <v>3525</v>
      </c>
      <c r="K311" s="15">
        <v>45357</v>
      </c>
      <c r="L311" s="14" t="s">
        <v>2846</v>
      </c>
      <c r="M311" t="s">
        <v>3523</v>
      </c>
      <c r="N311" s="15"/>
      <c r="O311" s="14"/>
      <c r="P311">
        <v>94</v>
      </c>
    </row>
    <row r="312" spans="1:16" x14ac:dyDescent="0.3">
      <c r="A312">
        <v>311</v>
      </c>
      <c r="B312" s="14" t="s">
        <v>2532</v>
      </c>
      <c r="C312" s="14" t="s">
        <v>327</v>
      </c>
      <c r="D312" s="14" t="s">
        <v>3489</v>
      </c>
      <c r="E312" s="14" t="s">
        <v>1118</v>
      </c>
      <c r="F312" s="14" t="s">
        <v>1335</v>
      </c>
      <c r="G312" s="14" t="s">
        <v>1358</v>
      </c>
      <c r="H312" s="14"/>
      <c r="I312" t="s">
        <v>826</v>
      </c>
      <c r="J312" s="14" t="s">
        <v>70</v>
      </c>
      <c r="K312" s="15">
        <v>45357</v>
      </c>
      <c r="L312" s="14" t="s">
        <v>2848</v>
      </c>
      <c r="M312" t="s">
        <v>3523</v>
      </c>
      <c r="N312" s="15"/>
      <c r="O312" s="14"/>
      <c r="P312">
        <v>94</v>
      </c>
    </row>
    <row r="313" spans="1:16" x14ac:dyDescent="0.3">
      <c r="A313">
        <v>312</v>
      </c>
      <c r="B313" s="14" t="s">
        <v>2533</v>
      </c>
      <c r="C313" s="14" t="s">
        <v>328</v>
      </c>
      <c r="D313" s="14" t="s">
        <v>3489</v>
      </c>
      <c r="E313" s="14" t="s">
        <v>1118</v>
      </c>
      <c r="F313" s="14" t="s">
        <v>1336</v>
      </c>
      <c r="G313" s="14" t="s">
        <v>1304</v>
      </c>
      <c r="H313" s="14"/>
      <c r="I313" t="s">
        <v>827</v>
      </c>
      <c r="J313" s="14" t="s">
        <v>45</v>
      </c>
      <c r="K313" s="15">
        <v>45357</v>
      </c>
      <c r="L313" s="14" t="s">
        <v>2848</v>
      </c>
      <c r="M313" t="s">
        <v>3523</v>
      </c>
      <c r="N313" s="15"/>
      <c r="O313" s="14"/>
      <c r="P313">
        <v>94</v>
      </c>
    </row>
    <row r="314" spans="1:16" x14ac:dyDescent="0.3">
      <c r="A314">
        <v>313</v>
      </c>
      <c r="B314" s="14" t="s">
        <v>2534</v>
      </c>
      <c r="C314" s="14" t="s">
        <v>329</v>
      </c>
      <c r="D314" s="14" t="s">
        <v>3489</v>
      </c>
      <c r="E314" s="14" t="s">
        <v>1118</v>
      </c>
      <c r="F314" s="14" t="s">
        <v>1337</v>
      </c>
      <c r="G314" s="14" t="s">
        <v>1797</v>
      </c>
      <c r="H314" s="14"/>
      <c r="I314" t="s">
        <v>828</v>
      </c>
      <c r="J314" s="14" t="s">
        <v>3525</v>
      </c>
      <c r="K314" s="15">
        <v>45359</v>
      </c>
      <c r="L314" s="14" t="s">
        <v>2848</v>
      </c>
      <c r="M314" t="s">
        <v>3523</v>
      </c>
      <c r="N314" s="15"/>
      <c r="O314" s="14"/>
      <c r="P314">
        <v>92</v>
      </c>
    </row>
    <row r="315" spans="1:16" x14ac:dyDescent="0.3">
      <c r="A315">
        <v>314</v>
      </c>
      <c r="B315" s="14" t="s">
        <v>2535</v>
      </c>
      <c r="C315" s="14" t="s">
        <v>330</v>
      </c>
      <c r="D315" s="14" t="s">
        <v>3490</v>
      </c>
      <c r="E315" s="14" t="s">
        <v>1118</v>
      </c>
      <c r="F315" s="14" t="s">
        <v>59</v>
      </c>
      <c r="G315" s="14" t="s">
        <v>1798</v>
      </c>
      <c r="H315" s="14" t="s">
        <v>2088</v>
      </c>
      <c r="I315" t="s">
        <v>829</v>
      </c>
      <c r="J315" s="14" t="s">
        <v>35</v>
      </c>
      <c r="K315" s="15">
        <v>45360</v>
      </c>
      <c r="L315" s="14" t="s">
        <v>2845</v>
      </c>
      <c r="M315" t="s">
        <v>3500</v>
      </c>
      <c r="N315" s="15">
        <v>45365</v>
      </c>
      <c r="O315" s="14"/>
      <c r="P315">
        <v>91</v>
      </c>
    </row>
    <row r="316" spans="1:16" x14ac:dyDescent="0.3">
      <c r="A316">
        <v>315</v>
      </c>
      <c r="B316" s="14" t="s">
        <v>2536</v>
      </c>
      <c r="C316" s="14" t="s">
        <v>331</v>
      </c>
      <c r="D316" s="14" t="s">
        <v>3490</v>
      </c>
      <c r="E316" s="14" t="s">
        <v>1118</v>
      </c>
      <c r="F316" s="14" t="s">
        <v>1338</v>
      </c>
      <c r="G316" s="14" t="s">
        <v>1799</v>
      </c>
      <c r="H316" s="14" t="s">
        <v>2088</v>
      </c>
      <c r="I316" t="s">
        <v>830</v>
      </c>
      <c r="J316" s="14" t="s">
        <v>35</v>
      </c>
      <c r="K316" s="15">
        <v>45361</v>
      </c>
      <c r="L316" s="14" t="s">
        <v>3539</v>
      </c>
      <c r="M316" t="s">
        <v>3500</v>
      </c>
      <c r="N316" s="15">
        <v>45365</v>
      </c>
      <c r="O316" s="14" t="s">
        <v>3521</v>
      </c>
      <c r="P316">
        <v>4</v>
      </c>
    </row>
    <row r="317" spans="1:16" x14ac:dyDescent="0.3">
      <c r="A317">
        <v>316</v>
      </c>
      <c r="B317" s="14" t="s">
        <v>2537</v>
      </c>
      <c r="C317" s="14" t="s">
        <v>332</v>
      </c>
      <c r="D317" s="14" t="s">
        <v>3490</v>
      </c>
      <c r="E317" s="14" t="s">
        <v>1118</v>
      </c>
      <c r="F317" s="14" t="s">
        <v>1339</v>
      </c>
      <c r="G317" s="14" t="s">
        <v>1800</v>
      </c>
      <c r="H317" s="14" t="s">
        <v>2052</v>
      </c>
      <c r="I317" t="s">
        <v>831</v>
      </c>
      <c r="J317" s="14" t="s">
        <v>35</v>
      </c>
      <c r="K317" s="15">
        <v>45361</v>
      </c>
      <c r="L317" s="14" t="s">
        <v>3539</v>
      </c>
      <c r="M317" t="s">
        <v>3523</v>
      </c>
      <c r="N317" s="15"/>
      <c r="O317" s="14"/>
      <c r="P317">
        <v>90</v>
      </c>
    </row>
    <row r="318" spans="1:16" x14ac:dyDescent="0.3">
      <c r="A318">
        <v>317</v>
      </c>
      <c r="B318" s="14" t="s">
        <v>2538</v>
      </c>
      <c r="C318" s="14" t="s">
        <v>333</v>
      </c>
      <c r="D318" s="14" t="s">
        <v>3490</v>
      </c>
      <c r="E318" s="14" t="s">
        <v>1118</v>
      </c>
      <c r="F318" s="14" t="s">
        <v>1340</v>
      </c>
      <c r="G318" s="14" t="s">
        <v>1801</v>
      </c>
      <c r="H318" s="14"/>
      <c r="I318" t="s">
        <v>832</v>
      </c>
      <c r="J318" s="14" t="s">
        <v>57</v>
      </c>
      <c r="K318" s="15">
        <v>45361</v>
      </c>
      <c r="L318" s="14" t="s">
        <v>3539</v>
      </c>
      <c r="M318" t="s">
        <v>3523</v>
      </c>
      <c r="N318" s="15"/>
      <c r="O318" s="14"/>
      <c r="P318">
        <v>90</v>
      </c>
    </row>
    <row r="319" spans="1:16" x14ac:dyDescent="0.3">
      <c r="A319">
        <v>318</v>
      </c>
      <c r="B319" s="14" t="s">
        <v>2539</v>
      </c>
      <c r="C319" s="14" t="s">
        <v>334</v>
      </c>
      <c r="D319" s="14" t="s">
        <v>3490</v>
      </c>
      <c r="E319" s="14" t="s">
        <v>1118</v>
      </c>
      <c r="F319" s="14" t="s">
        <v>1341</v>
      </c>
      <c r="G319" s="14" t="s">
        <v>1802</v>
      </c>
      <c r="H319" s="14"/>
      <c r="I319" t="s">
        <v>833</v>
      </c>
      <c r="J319" s="14" t="s">
        <v>35</v>
      </c>
      <c r="K319" s="15">
        <v>45362</v>
      </c>
      <c r="L319" s="14" t="s">
        <v>3539</v>
      </c>
      <c r="M319" t="s">
        <v>3523</v>
      </c>
      <c r="N319" s="15"/>
      <c r="O319" s="14"/>
      <c r="P319">
        <v>89</v>
      </c>
    </row>
    <row r="320" spans="1:16" x14ac:dyDescent="0.3">
      <c r="A320">
        <v>319</v>
      </c>
      <c r="B320" s="14" t="s">
        <v>2540</v>
      </c>
      <c r="C320" s="14" t="s">
        <v>2193</v>
      </c>
      <c r="D320" s="14" t="s">
        <v>3489</v>
      </c>
      <c r="E320" s="14" t="s">
        <v>1118</v>
      </c>
      <c r="F320" s="14" t="s">
        <v>1342</v>
      </c>
      <c r="G320" s="14" t="s">
        <v>1803</v>
      </c>
      <c r="H320" s="14"/>
      <c r="I320" t="s">
        <v>834</v>
      </c>
      <c r="J320" s="14" t="s">
        <v>35</v>
      </c>
      <c r="K320" s="15">
        <v>45362</v>
      </c>
      <c r="L320" s="14" t="s">
        <v>2848</v>
      </c>
      <c r="M320" t="s">
        <v>3523</v>
      </c>
      <c r="N320" s="15"/>
      <c r="O320" s="14"/>
      <c r="P320">
        <v>89</v>
      </c>
    </row>
    <row r="321" spans="1:16" x14ac:dyDescent="0.3">
      <c r="A321">
        <v>320</v>
      </c>
      <c r="B321" s="14" t="s">
        <v>2541</v>
      </c>
      <c r="C321" s="14" t="s">
        <v>238</v>
      </c>
      <c r="D321" s="14" t="s">
        <v>3490</v>
      </c>
      <c r="E321" s="14" t="s">
        <v>1118</v>
      </c>
      <c r="F321" s="14" t="s">
        <v>1343</v>
      </c>
      <c r="G321" s="14" t="s">
        <v>1804</v>
      </c>
      <c r="H321" s="14" t="s">
        <v>2066</v>
      </c>
      <c r="I321" t="s">
        <v>738</v>
      </c>
      <c r="J321" s="14" t="s">
        <v>57</v>
      </c>
      <c r="K321" s="15">
        <v>45362</v>
      </c>
      <c r="L321" s="14" t="s">
        <v>3539</v>
      </c>
      <c r="M321" t="s">
        <v>3500</v>
      </c>
      <c r="N321" s="15">
        <v>45363</v>
      </c>
      <c r="O321" s="14"/>
      <c r="P321">
        <v>89</v>
      </c>
    </row>
    <row r="322" spans="1:16" x14ac:dyDescent="0.3">
      <c r="A322">
        <v>321</v>
      </c>
      <c r="B322" s="14" t="s">
        <v>2542</v>
      </c>
      <c r="C322" s="14" t="s">
        <v>335</v>
      </c>
      <c r="D322" s="14" t="s">
        <v>3490</v>
      </c>
      <c r="E322" s="14" t="s">
        <v>1118</v>
      </c>
      <c r="F322" s="14" t="s">
        <v>1344</v>
      </c>
      <c r="G322" s="14" t="s">
        <v>1805</v>
      </c>
      <c r="H322" s="14" t="s">
        <v>2086</v>
      </c>
      <c r="I322" t="s">
        <v>835</v>
      </c>
      <c r="J322" s="14" t="s">
        <v>44</v>
      </c>
      <c r="K322" s="15">
        <v>45363</v>
      </c>
      <c r="L322" s="14" t="s">
        <v>3539</v>
      </c>
      <c r="M322" t="s">
        <v>3524</v>
      </c>
      <c r="N322" s="15"/>
      <c r="O322" s="14" t="s">
        <v>3521</v>
      </c>
    </row>
    <row r="323" spans="1:16" x14ac:dyDescent="0.3">
      <c r="A323">
        <v>322</v>
      </c>
      <c r="B323" s="14" t="s">
        <v>2543</v>
      </c>
      <c r="C323" s="14" t="s">
        <v>2194</v>
      </c>
      <c r="D323" s="14" t="s">
        <v>3490</v>
      </c>
      <c r="E323" s="14" t="s">
        <v>1118</v>
      </c>
      <c r="F323" s="14" t="s">
        <v>1345</v>
      </c>
      <c r="G323" s="14" t="s">
        <v>1806</v>
      </c>
      <c r="H323" s="14"/>
      <c r="I323" t="s">
        <v>836</v>
      </c>
      <c r="J323" s="14" t="s">
        <v>35</v>
      </c>
      <c r="K323" s="15">
        <v>45363</v>
      </c>
      <c r="L323" s="14" t="s">
        <v>3539</v>
      </c>
      <c r="M323" t="s">
        <v>3523</v>
      </c>
      <c r="N323" s="15"/>
      <c r="O323" s="14"/>
      <c r="P323">
        <v>88</v>
      </c>
    </row>
    <row r="324" spans="1:16" x14ac:dyDescent="0.3">
      <c r="A324">
        <v>323</v>
      </c>
      <c r="B324" s="14" t="s">
        <v>2544</v>
      </c>
      <c r="C324" s="14" t="s">
        <v>2195</v>
      </c>
      <c r="D324" s="14" t="s">
        <v>3490</v>
      </c>
      <c r="E324" s="14" t="s">
        <v>1114</v>
      </c>
      <c r="F324" s="14" t="s">
        <v>1346</v>
      </c>
      <c r="G324" s="14"/>
      <c r="H324" s="14"/>
      <c r="I324" t="s">
        <v>837</v>
      </c>
      <c r="J324" s="14" t="s">
        <v>30</v>
      </c>
      <c r="K324" s="15">
        <v>45363</v>
      </c>
      <c r="L324" s="14" t="s">
        <v>2848</v>
      </c>
      <c r="M324" t="s">
        <v>3523</v>
      </c>
      <c r="N324" s="15"/>
      <c r="O324" s="14"/>
      <c r="P324">
        <v>88</v>
      </c>
    </row>
    <row r="325" spans="1:16" x14ac:dyDescent="0.3">
      <c r="A325">
        <v>324</v>
      </c>
      <c r="B325" s="14" t="s">
        <v>2545</v>
      </c>
      <c r="C325" s="14" t="s">
        <v>336</v>
      </c>
      <c r="D325" s="14" t="s">
        <v>3489</v>
      </c>
      <c r="E325" s="14" t="s">
        <v>1118</v>
      </c>
      <c r="F325" s="14" t="s">
        <v>1347</v>
      </c>
      <c r="G325" s="14" t="s">
        <v>1358</v>
      </c>
      <c r="H325" s="14"/>
      <c r="I325" t="s">
        <v>838</v>
      </c>
      <c r="J325" s="14" t="s">
        <v>45</v>
      </c>
      <c r="K325" s="15">
        <v>45363</v>
      </c>
      <c r="L325" s="14" t="s">
        <v>2848</v>
      </c>
      <c r="M325" t="s">
        <v>3523</v>
      </c>
      <c r="N325" s="15"/>
      <c r="O325" s="14"/>
      <c r="P325">
        <v>88</v>
      </c>
    </row>
    <row r="326" spans="1:16" x14ac:dyDescent="0.3">
      <c r="A326">
        <v>325</v>
      </c>
      <c r="B326" s="14" t="s">
        <v>2546</v>
      </c>
      <c r="C326" s="14" t="s">
        <v>337</v>
      </c>
      <c r="D326" s="14" t="s">
        <v>3490</v>
      </c>
      <c r="E326" s="14" t="s">
        <v>1118</v>
      </c>
      <c r="F326" s="14" t="s">
        <v>1348</v>
      </c>
      <c r="G326" s="14" t="s">
        <v>1807</v>
      </c>
      <c r="H326" s="14" t="s">
        <v>2063</v>
      </c>
      <c r="I326" t="s">
        <v>839</v>
      </c>
      <c r="J326" s="14" t="s">
        <v>44</v>
      </c>
      <c r="K326" s="15">
        <v>45363</v>
      </c>
      <c r="L326" s="14" t="s">
        <v>3539</v>
      </c>
      <c r="M326" t="s">
        <v>3500</v>
      </c>
      <c r="N326" s="15">
        <v>45369</v>
      </c>
      <c r="O326" s="14"/>
      <c r="P326">
        <v>88</v>
      </c>
    </row>
    <row r="327" spans="1:16" x14ac:dyDescent="0.3">
      <c r="A327">
        <v>326</v>
      </c>
      <c r="B327" s="14" t="s">
        <v>2547</v>
      </c>
      <c r="C327" s="14" t="s">
        <v>338</v>
      </c>
      <c r="D327" s="14" t="s">
        <v>3490</v>
      </c>
      <c r="E327" s="14" t="s">
        <v>1118</v>
      </c>
      <c r="F327" s="14" t="s">
        <v>42</v>
      </c>
      <c r="G327" s="14" t="s">
        <v>1808</v>
      </c>
      <c r="H327" s="14"/>
      <c r="I327" t="s">
        <v>840</v>
      </c>
      <c r="J327" s="14" t="s">
        <v>44</v>
      </c>
      <c r="K327" s="15">
        <v>45363</v>
      </c>
      <c r="L327" s="14" t="s">
        <v>3539</v>
      </c>
      <c r="M327" t="s">
        <v>3524</v>
      </c>
      <c r="N327" s="15"/>
      <c r="O327" s="14" t="s">
        <v>3521</v>
      </c>
    </row>
    <row r="328" spans="1:16" x14ac:dyDescent="0.3">
      <c r="A328">
        <v>327</v>
      </c>
      <c r="B328" s="14" t="s">
        <v>2548</v>
      </c>
      <c r="C328" s="14" t="s">
        <v>339</v>
      </c>
      <c r="D328" s="14" t="s">
        <v>3490</v>
      </c>
      <c r="E328" s="14" t="s">
        <v>1114</v>
      </c>
      <c r="F328" s="14"/>
      <c r="G328" s="14" t="s">
        <v>1809</v>
      </c>
      <c r="H328" s="14"/>
      <c r="I328" t="s">
        <v>841</v>
      </c>
      <c r="J328" s="14" t="s">
        <v>44</v>
      </c>
      <c r="K328" s="15">
        <v>45363</v>
      </c>
      <c r="L328" s="14" t="s">
        <v>3539</v>
      </c>
      <c r="M328" t="s">
        <v>3524</v>
      </c>
      <c r="N328" s="15"/>
      <c r="O328" s="14" t="s">
        <v>3521</v>
      </c>
    </row>
    <row r="329" spans="1:16" x14ac:dyDescent="0.3">
      <c r="A329">
        <v>328</v>
      </c>
      <c r="B329" s="14" t="s">
        <v>2549</v>
      </c>
      <c r="C329" s="14" t="s">
        <v>340</v>
      </c>
      <c r="D329" s="14" t="s">
        <v>3489</v>
      </c>
      <c r="E329" s="14" t="s">
        <v>1118</v>
      </c>
      <c r="F329" s="14" t="s">
        <v>1304</v>
      </c>
      <c r="G329" s="14" t="s">
        <v>1810</v>
      </c>
      <c r="H329" s="14" t="s">
        <v>2052</v>
      </c>
      <c r="I329" t="s">
        <v>842</v>
      </c>
      <c r="J329" s="14" t="s">
        <v>45</v>
      </c>
      <c r="K329" s="15">
        <v>45363</v>
      </c>
      <c r="L329" s="14" t="s">
        <v>2848</v>
      </c>
      <c r="M329" t="s">
        <v>3523</v>
      </c>
      <c r="N329" s="15"/>
      <c r="O329" s="14"/>
      <c r="P329">
        <v>88</v>
      </c>
    </row>
    <row r="330" spans="1:16" x14ac:dyDescent="0.3">
      <c r="A330">
        <v>329</v>
      </c>
      <c r="B330" s="14" t="s">
        <v>2550</v>
      </c>
      <c r="C330" s="14" t="s">
        <v>341</v>
      </c>
      <c r="D330" s="14" t="s">
        <v>3490</v>
      </c>
      <c r="E330" s="14" t="s">
        <v>1116</v>
      </c>
      <c r="F330" s="14" t="s">
        <v>55</v>
      </c>
      <c r="G330" s="14" t="s">
        <v>1811</v>
      </c>
      <c r="H330" s="14" t="s">
        <v>704</v>
      </c>
      <c r="I330" t="s">
        <v>843</v>
      </c>
      <c r="J330" s="14" t="s">
        <v>55</v>
      </c>
      <c r="K330" s="15">
        <v>45363</v>
      </c>
      <c r="L330" s="14" t="s">
        <v>3539</v>
      </c>
      <c r="M330" t="s">
        <v>3500</v>
      </c>
      <c r="N330" s="15">
        <v>45364</v>
      </c>
      <c r="O330" s="14"/>
      <c r="P330">
        <v>88</v>
      </c>
    </row>
    <row r="331" spans="1:16" x14ac:dyDescent="0.3">
      <c r="A331">
        <v>330</v>
      </c>
      <c r="B331" s="14" t="s">
        <v>2551</v>
      </c>
      <c r="C331" s="14" t="s">
        <v>2196</v>
      </c>
      <c r="D331" s="14" t="s">
        <v>3490</v>
      </c>
      <c r="E331" s="14" t="s">
        <v>1118</v>
      </c>
      <c r="F331" s="14" t="s">
        <v>1349</v>
      </c>
      <c r="G331" s="14" t="s">
        <v>1812</v>
      </c>
      <c r="H331" s="14" t="s">
        <v>2052</v>
      </c>
      <c r="I331" t="s">
        <v>844</v>
      </c>
      <c r="J331" s="14" t="s">
        <v>44</v>
      </c>
      <c r="K331" s="15">
        <v>45364</v>
      </c>
      <c r="L331" s="14" t="s">
        <v>3539</v>
      </c>
      <c r="M331" t="s">
        <v>3523</v>
      </c>
      <c r="N331" s="15"/>
      <c r="O331" s="14"/>
      <c r="P331">
        <v>87</v>
      </c>
    </row>
    <row r="332" spans="1:16" x14ac:dyDescent="0.3">
      <c r="A332">
        <v>331</v>
      </c>
      <c r="B332" s="14" t="s">
        <v>2552</v>
      </c>
      <c r="C332" s="14" t="s">
        <v>342</v>
      </c>
      <c r="D332" s="14" t="s">
        <v>3490</v>
      </c>
      <c r="E332" s="14" t="s">
        <v>1118</v>
      </c>
      <c r="F332" s="14" t="s">
        <v>1350</v>
      </c>
      <c r="G332" s="14"/>
      <c r="H332" s="14"/>
      <c r="I332" t="s">
        <v>845</v>
      </c>
      <c r="J332" s="14" t="s">
        <v>35</v>
      </c>
      <c r="K332" s="15">
        <v>45364</v>
      </c>
      <c r="L332" s="14" t="s">
        <v>3539</v>
      </c>
      <c r="M332" t="s">
        <v>3523</v>
      </c>
      <c r="N332" s="15"/>
      <c r="O332" s="14"/>
      <c r="P332">
        <v>87</v>
      </c>
    </row>
    <row r="333" spans="1:16" x14ac:dyDescent="0.3">
      <c r="A333">
        <v>332</v>
      </c>
      <c r="B333" s="14" t="s">
        <v>2553</v>
      </c>
      <c r="C333" s="14" t="s">
        <v>343</v>
      </c>
      <c r="D333" s="14" t="s">
        <v>3490</v>
      </c>
      <c r="E333" s="14" t="s">
        <v>1114</v>
      </c>
      <c r="F333" s="14" t="s">
        <v>1351</v>
      </c>
      <c r="G333" s="14"/>
      <c r="H333" s="14" t="s">
        <v>704</v>
      </c>
      <c r="I333" t="s">
        <v>846</v>
      </c>
      <c r="J333" s="14" t="s">
        <v>55</v>
      </c>
      <c r="K333" s="15">
        <v>45364</v>
      </c>
      <c r="L333" s="14" t="s">
        <v>2845</v>
      </c>
      <c r="M333" t="s">
        <v>3500</v>
      </c>
      <c r="N333" s="15">
        <v>45364</v>
      </c>
      <c r="O333" s="14"/>
      <c r="P333">
        <v>87</v>
      </c>
    </row>
    <row r="334" spans="1:16" x14ac:dyDescent="0.3">
      <c r="A334">
        <v>333</v>
      </c>
      <c r="B334" s="14" t="s">
        <v>2554</v>
      </c>
      <c r="C334" s="14" t="s">
        <v>2197</v>
      </c>
      <c r="D334" s="14" t="s">
        <v>3490</v>
      </c>
      <c r="E334" s="14" t="s">
        <v>1118</v>
      </c>
      <c r="F334" s="14"/>
      <c r="G334" s="14" t="s">
        <v>1813</v>
      </c>
      <c r="H334" s="14"/>
      <c r="I334" t="s">
        <v>847</v>
      </c>
      <c r="J334" s="14" t="s">
        <v>57</v>
      </c>
      <c r="K334" s="15">
        <v>45365</v>
      </c>
      <c r="L334" s="14" t="s">
        <v>3539</v>
      </c>
      <c r="M334" t="s">
        <v>3523</v>
      </c>
      <c r="N334" s="15"/>
      <c r="O334" s="14"/>
      <c r="P334">
        <v>86</v>
      </c>
    </row>
    <row r="335" spans="1:16" x14ac:dyDescent="0.3">
      <c r="A335">
        <v>334</v>
      </c>
      <c r="B335" s="14" t="s">
        <v>2555</v>
      </c>
      <c r="C335" s="14" t="s">
        <v>344</v>
      </c>
      <c r="D335" s="14" t="s">
        <v>3489</v>
      </c>
      <c r="E335" s="14" t="s">
        <v>1118</v>
      </c>
      <c r="F335" s="14" t="s">
        <v>1352</v>
      </c>
      <c r="G335" s="14"/>
      <c r="H335" s="14"/>
      <c r="I335" t="s">
        <v>848</v>
      </c>
      <c r="J335" s="14" t="s">
        <v>35</v>
      </c>
      <c r="K335" s="15">
        <v>45365</v>
      </c>
      <c r="L335" s="14" t="s">
        <v>3539</v>
      </c>
      <c r="M335" t="s">
        <v>3523</v>
      </c>
      <c r="N335" s="15"/>
      <c r="O335" s="14"/>
      <c r="P335">
        <v>86</v>
      </c>
    </row>
    <row r="336" spans="1:16" x14ac:dyDescent="0.3">
      <c r="A336">
        <v>335</v>
      </c>
      <c r="B336" s="14" t="s">
        <v>2556</v>
      </c>
      <c r="C336" s="14" t="s">
        <v>2198</v>
      </c>
      <c r="D336" s="14" t="s">
        <v>3490</v>
      </c>
      <c r="E336" s="14" t="s">
        <v>1118</v>
      </c>
      <c r="F336" s="14" t="s">
        <v>9</v>
      </c>
      <c r="G336" s="14" t="s">
        <v>1814</v>
      </c>
      <c r="H336" s="14"/>
      <c r="I336" t="s">
        <v>849</v>
      </c>
      <c r="J336" s="14" t="s">
        <v>35</v>
      </c>
      <c r="K336" s="15">
        <v>45365</v>
      </c>
      <c r="L336" s="14" t="s">
        <v>3539</v>
      </c>
      <c r="M336" t="s">
        <v>3523</v>
      </c>
      <c r="N336" s="15"/>
      <c r="O336" s="14"/>
      <c r="P336">
        <v>86</v>
      </c>
    </row>
    <row r="337" spans="1:16" x14ac:dyDescent="0.3">
      <c r="A337">
        <v>336</v>
      </c>
      <c r="B337" s="14" t="s">
        <v>2557</v>
      </c>
      <c r="C337" s="14" t="s">
        <v>2199</v>
      </c>
      <c r="D337" s="14" t="s">
        <v>3490</v>
      </c>
      <c r="E337" s="14" t="s">
        <v>1118</v>
      </c>
      <c r="F337" s="14" t="s">
        <v>1353</v>
      </c>
      <c r="G337" s="14" t="s">
        <v>1815</v>
      </c>
      <c r="H337" s="14"/>
      <c r="I337" t="s">
        <v>850</v>
      </c>
      <c r="J337" s="14" t="s">
        <v>44</v>
      </c>
      <c r="K337" s="15">
        <v>45365</v>
      </c>
      <c r="L337" s="14" t="s">
        <v>3539</v>
      </c>
      <c r="M337" t="s">
        <v>3523</v>
      </c>
      <c r="N337" s="15"/>
      <c r="O337" s="14"/>
      <c r="P337">
        <v>86</v>
      </c>
    </row>
    <row r="338" spans="1:16" x14ac:dyDescent="0.3">
      <c r="A338">
        <v>337</v>
      </c>
      <c r="B338" s="14" t="s">
        <v>2558</v>
      </c>
      <c r="C338" s="14" t="s">
        <v>2200</v>
      </c>
      <c r="D338" s="14" t="s">
        <v>3490</v>
      </c>
      <c r="E338" s="14" t="s">
        <v>1118</v>
      </c>
      <c r="F338" s="14" t="s">
        <v>1329</v>
      </c>
      <c r="G338" s="14" t="s">
        <v>1816</v>
      </c>
      <c r="H338" s="14"/>
      <c r="I338" t="s">
        <v>851</v>
      </c>
      <c r="J338" s="14" t="s">
        <v>30</v>
      </c>
      <c r="K338" s="15">
        <v>45365</v>
      </c>
      <c r="L338" s="14" t="s">
        <v>3539</v>
      </c>
      <c r="M338" t="s">
        <v>3523</v>
      </c>
      <c r="N338" s="15"/>
      <c r="O338" s="14"/>
      <c r="P338">
        <v>86</v>
      </c>
    </row>
    <row r="339" spans="1:16" x14ac:dyDescent="0.3">
      <c r="A339">
        <v>338</v>
      </c>
      <c r="B339" s="14" t="s">
        <v>2559</v>
      </c>
      <c r="C339" s="14" t="s">
        <v>345</v>
      </c>
      <c r="D339" s="14" t="s">
        <v>3490</v>
      </c>
      <c r="E339" s="14" t="s">
        <v>1118</v>
      </c>
      <c r="F339" s="14" t="s">
        <v>1354</v>
      </c>
      <c r="G339" s="14" t="s">
        <v>1817</v>
      </c>
      <c r="H339" s="14"/>
      <c r="I339" t="s">
        <v>852</v>
      </c>
      <c r="J339" s="14" t="s">
        <v>44</v>
      </c>
      <c r="K339" s="15">
        <v>45365</v>
      </c>
      <c r="L339" s="14" t="s">
        <v>3539</v>
      </c>
      <c r="M339" t="s">
        <v>3523</v>
      </c>
      <c r="N339" s="15"/>
      <c r="O339" s="14"/>
      <c r="P339">
        <v>86</v>
      </c>
    </row>
    <row r="340" spans="1:16" x14ac:dyDescent="0.3">
      <c r="A340">
        <v>339</v>
      </c>
      <c r="B340" s="14" t="s">
        <v>2560</v>
      </c>
      <c r="C340" s="14" t="s">
        <v>2201</v>
      </c>
      <c r="D340" s="14" t="s">
        <v>3490</v>
      </c>
      <c r="E340" s="14" t="s">
        <v>1118</v>
      </c>
      <c r="F340" s="14" t="s">
        <v>1355</v>
      </c>
      <c r="G340" s="14" t="s">
        <v>1818</v>
      </c>
      <c r="H340" s="14"/>
      <c r="I340" t="s">
        <v>853</v>
      </c>
      <c r="J340" s="14" t="s">
        <v>45</v>
      </c>
      <c r="K340" s="15">
        <v>45365</v>
      </c>
      <c r="L340" s="14" t="s">
        <v>3539</v>
      </c>
      <c r="M340" t="s">
        <v>3523</v>
      </c>
      <c r="N340" s="15"/>
      <c r="O340" s="14"/>
      <c r="P340">
        <v>86</v>
      </c>
    </row>
    <row r="341" spans="1:16" x14ac:dyDescent="0.3">
      <c r="A341">
        <v>340</v>
      </c>
      <c r="B341" s="14" t="s">
        <v>2561</v>
      </c>
      <c r="C341" s="14" t="s">
        <v>346</v>
      </c>
      <c r="D341" s="14" t="s">
        <v>3490</v>
      </c>
      <c r="E341" s="14" t="s">
        <v>1118</v>
      </c>
      <c r="F341" s="14" t="s">
        <v>1202</v>
      </c>
      <c r="G341" s="14" t="s">
        <v>1819</v>
      </c>
      <c r="H341" s="14"/>
      <c r="I341" t="s">
        <v>854</v>
      </c>
      <c r="J341" s="14" t="s">
        <v>44</v>
      </c>
      <c r="K341" s="15">
        <v>45365</v>
      </c>
      <c r="L341" s="14" t="s">
        <v>3539</v>
      </c>
      <c r="M341" t="s">
        <v>3523</v>
      </c>
      <c r="N341" s="15"/>
      <c r="O341" s="14"/>
      <c r="P341">
        <v>86</v>
      </c>
    </row>
    <row r="342" spans="1:16" x14ac:dyDescent="0.3">
      <c r="A342">
        <v>341</v>
      </c>
      <c r="B342" s="14" t="s">
        <v>2562</v>
      </c>
      <c r="C342" s="14" t="s">
        <v>347</v>
      </c>
      <c r="D342" s="14" t="s">
        <v>3490</v>
      </c>
      <c r="E342" s="14" t="s">
        <v>1118</v>
      </c>
      <c r="F342" s="14" t="s">
        <v>1356</v>
      </c>
      <c r="G342" s="14" t="s">
        <v>1820</v>
      </c>
      <c r="H342" s="14" t="s">
        <v>2088</v>
      </c>
      <c r="I342" t="s">
        <v>855</v>
      </c>
      <c r="J342" s="14" t="s">
        <v>3525</v>
      </c>
      <c r="K342" s="15">
        <v>45366</v>
      </c>
      <c r="L342" s="14" t="s">
        <v>2845</v>
      </c>
      <c r="M342" t="s">
        <v>3501</v>
      </c>
      <c r="N342" s="15">
        <v>45366</v>
      </c>
      <c r="O342" s="14"/>
      <c r="P342">
        <v>85</v>
      </c>
    </row>
    <row r="343" spans="1:16" x14ac:dyDescent="0.3">
      <c r="A343">
        <v>342</v>
      </c>
      <c r="B343" s="14" t="s">
        <v>2563</v>
      </c>
      <c r="C343" s="14" t="s">
        <v>348</v>
      </c>
      <c r="D343" s="14" t="s">
        <v>3489</v>
      </c>
      <c r="E343" s="14" t="s">
        <v>1118</v>
      </c>
      <c r="F343" s="14" t="s">
        <v>1357</v>
      </c>
      <c r="G343" s="14" t="s">
        <v>1821</v>
      </c>
      <c r="H343" s="14"/>
      <c r="I343" t="s">
        <v>856</v>
      </c>
      <c r="J343" s="14" t="s">
        <v>45</v>
      </c>
      <c r="K343" s="15">
        <v>45366</v>
      </c>
      <c r="L343" s="14" t="s">
        <v>2848</v>
      </c>
      <c r="M343" t="s">
        <v>3524</v>
      </c>
      <c r="N343" s="15"/>
      <c r="O343" s="14" t="s">
        <v>3521</v>
      </c>
    </row>
    <row r="344" spans="1:16" x14ac:dyDescent="0.3">
      <c r="A344">
        <v>343</v>
      </c>
      <c r="B344" s="14" t="s">
        <v>2564</v>
      </c>
      <c r="C344" s="14" t="s">
        <v>349</v>
      </c>
      <c r="D344" s="14" t="s">
        <v>3490</v>
      </c>
      <c r="E344" s="14" t="s">
        <v>1118</v>
      </c>
      <c r="F344" s="14" t="s">
        <v>1358</v>
      </c>
      <c r="G344" s="14" t="s">
        <v>1822</v>
      </c>
      <c r="H344" s="14"/>
      <c r="I344" t="s">
        <v>857</v>
      </c>
      <c r="J344" s="14" t="s">
        <v>45</v>
      </c>
      <c r="K344" s="15">
        <v>45366</v>
      </c>
      <c r="L344" s="14" t="s">
        <v>2848</v>
      </c>
      <c r="M344" t="s">
        <v>3523</v>
      </c>
      <c r="N344" s="15"/>
      <c r="O344" s="14"/>
      <c r="P344">
        <v>85</v>
      </c>
    </row>
    <row r="345" spans="1:16" x14ac:dyDescent="0.3">
      <c r="A345">
        <v>344</v>
      </c>
      <c r="B345" s="14" t="s">
        <v>2565</v>
      </c>
      <c r="C345" s="14" t="s">
        <v>350</v>
      </c>
      <c r="D345" s="14" t="s">
        <v>3489</v>
      </c>
      <c r="E345" s="14" t="s">
        <v>1113</v>
      </c>
      <c r="F345" s="14" t="s">
        <v>1305</v>
      </c>
      <c r="G345" s="14" t="s">
        <v>1823</v>
      </c>
      <c r="H345" s="14"/>
      <c r="I345" t="s">
        <v>858</v>
      </c>
      <c r="J345" s="14" t="s">
        <v>45</v>
      </c>
      <c r="K345" s="15">
        <v>45366</v>
      </c>
      <c r="L345" s="14" t="s">
        <v>2848</v>
      </c>
      <c r="M345" t="s">
        <v>3523</v>
      </c>
      <c r="N345" s="15"/>
      <c r="O345" s="14"/>
      <c r="P345">
        <v>85</v>
      </c>
    </row>
    <row r="346" spans="1:16" x14ac:dyDescent="0.3">
      <c r="A346">
        <v>345</v>
      </c>
      <c r="B346" s="14" t="s">
        <v>2566</v>
      </c>
      <c r="C346" s="14" t="s">
        <v>351</v>
      </c>
      <c r="D346" s="14" t="s">
        <v>3490</v>
      </c>
      <c r="E346" s="14" t="s">
        <v>1118</v>
      </c>
      <c r="F346" s="14" t="s">
        <v>1359</v>
      </c>
      <c r="G346" s="14" t="s">
        <v>1824</v>
      </c>
      <c r="H346" s="14" t="s">
        <v>2052</v>
      </c>
      <c r="I346" t="s">
        <v>859</v>
      </c>
      <c r="J346" s="14" t="s">
        <v>35</v>
      </c>
      <c r="K346" s="15">
        <v>45366</v>
      </c>
      <c r="L346" s="14" t="s">
        <v>3539</v>
      </c>
      <c r="M346" t="s">
        <v>3523</v>
      </c>
      <c r="N346" s="15"/>
      <c r="O346" s="14"/>
      <c r="P346">
        <v>85</v>
      </c>
    </row>
    <row r="347" spans="1:16" x14ac:dyDescent="0.3">
      <c r="A347">
        <v>346</v>
      </c>
      <c r="B347" s="14" t="s">
        <v>2567</v>
      </c>
      <c r="C347" s="14" t="s">
        <v>352</v>
      </c>
      <c r="D347" s="14" t="s">
        <v>3490</v>
      </c>
      <c r="E347" s="14" t="s">
        <v>1118</v>
      </c>
      <c r="F347" s="14" t="s">
        <v>1360</v>
      </c>
      <c r="G347" s="14"/>
      <c r="H347" s="14"/>
      <c r="I347" t="s">
        <v>629</v>
      </c>
      <c r="J347" s="14" t="s">
        <v>35</v>
      </c>
      <c r="K347" s="15">
        <v>45366</v>
      </c>
      <c r="L347" s="14" t="s">
        <v>3539</v>
      </c>
      <c r="M347" t="s">
        <v>3523</v>
      </c>
      <c r="N347" s="15"/>
      <c r="O347" s="14"/>
      <c r="P347">
        <v>85</v>
      </c>
    </row>
    <row r="348" spans="1:16" x14ac:dyDescent="0.3">
      <c r="A348">
        <v>347</v>
      </c>
      <c r="B348" s="14" t="s">
        <v>2568</v>
      </c>
      <c r="C348" s="14" t="s">
        <v>353</v>
      </c>
      <c r="D348" s="14" t="s">
        <v>3490</v>
      </c>
      <c r="E348" s="14" t="s">
        <v>1118</v>
      </c>
      <c r="F348" s="14" t="s">
        <v>1228</v>
      </c>
      <c r="G348" s="14" t="s">
        <v>1825</v>
      </c>
      <c r="H348" s="14"/>
      <c r="I348" t="s">
        <v>860</v>
      </c>
      <c r="J348" s="14" t="s">
        <v>44</v>
      </c>
      <c r="K348" s="15">
        <v>45366</v>
      </c>
      <c r="L348" s="14" t="s">
        <v>3539</v>
      </c>
      <c r="M348" t="s">
        <v>3524</v>
      </c>
      <c r="N348" s="15"/>
      <c r="O348" s="14" t="s">
        <v>3521</v>
      </c>
    </row>
    <row r="349" spans="1:16" x14ac:dyDescent="0.3">
      <c r="A349">
        <v>348</v>
      </c>
      <c r="B349" s="14" t="s">
        <v>2569</v>
      </c>
      <c r="C349" s="14" t="s">
        <v>354</v>
      </c>
      <c r="D349" s="14" t="s">
        <v>3489</v>
      </c>
      <c r="E349" s="14" t="s">
        <v>1118</v>
      </c>
      <c r="F349" s="14" t="s">
        <v>1361</v>
      </c>
      <c r="G349" s="14" t="s">
        <v>1826</v>
      </c>
      <c r="H349" s="14" t="s">
        <v>2052</v>
      </c>
      <c r="I349" t="s">
        <v>861</v>
      </c>
      <c r="J349" s="14" t="s">
        <v>45</v>
      </c>
      <c r="K349" s="15">
        <v>45366</v>
      </c>
      <c r="L349" s="14" t="s">
        <v>2848</v>
      </c>
      <c r="M349" t="s">
        <v>3523</v>
      </c>
      <c r="N349" s="15"/>
      <c r="O349" s="14"/>
      <c r="P349">
        <v>85</v>
      </c>
    </row>
    <row r="350" spans="1:16" x14ac:dyDescent="0.3">
      <c r="A350">
        <v>349</v>
      </c>
      <c r="B350" s="14" t="s">
        <v>2570</v>
      </c>
      <c r="C350" s="14" t="s">
        <v>355</v>
      </c>
      <c r="D350" s="14" t="s">
        <v>3490</v>
      </c>
      <c r="E350" s="14" t="s">
        <v>1118</v>
      </c>
      <c r="F350" s="14" t="s">
        <v>1362</v>
      </c>
      <c r="G350" s="14" t="s">
        <v>1827</v>
      </c>
      <c r="H350" s="14" t="s">
        <v>2063</v>
      </c>
      <c r="I350" t="s">
        <v>862</v>
      </c>
      <c r="J350" s="14" t="s">
        <v>44</v>
      </c>
      <c r="K350" s="15">
        <v>45367</v>
      </c>
      <c r="L350" s="14" t="s">
        <v>3539</v>
      </c>
      <c r="M350" t="s">
        <v>3500</v>
      </c>
      <c r="N350" s="15">
        <v>45378</v>
      </c>
      <c r="O350" s="14" t="s">
        <v>3521</v>
      </c>
      <c r="P350">
        <v>11</v>
      </c>
    </row>
    <row r="351" spans="1:16" x14ac:dyDescent="0.3">
      <c r="A351">
        <v>350</v>
      </c>
      <c r="B351" s="14" t="s">
        <v>2571</v>
      </c>
      <c r="C351" s="14" t="s">
        <v>356</v>
      </c>
      <c r="D351" s="14" t="s">
        <v>3490</v>
      </c>
      <c r="E351" s="14" t="s">
        <v>1118</v>
      </c>
      <c r="F351" s="14" t="s">
        <v>1362</v>
      </c>
      <c r="G351" s="14" t="s">
        <v>1828</v>
      </c>
      <c r="H351" s="14"/>
      <c r="I351" t="s">
        <v>863</v>
      </c>
      <c r="J351" s="14" t="s">
        <v>44</v>
      </c>
      <c r="K351" s="15">
        <v>45367</v>
      </c>
      <c r="L351" s="14" t="s">
        <v>3539</v>
      </c>
      <c r="M351" t="s">
        <v>3524</v>
      </c>
      <c r="N351" s="15"/>
      <c r="O351" s="14" t="s">
        <v>3521</v>
      </c>
    </row>
    <row r="352" spans="1:16" x14ac:dyDescent="0.3">
      <c r="A352">
        <v>351</v>
      </c>
      <c r="B352" s="14" t="s">
        <v>2572</v>
      </c>
      <c r="C352" s="14" t="s">
        <v>2202</v>
      </c>
      <c r="D352" s="14" t="s">
        <v>3490</v>
      </c>
      <c r="E352" s="14" t="s">
        <v>1113</v>
      </c>
      <c r="F352" s="14" t="s">
        <v>1363</v>
      </c>
      <c r="G352" s="14" t="s">
        <v>1829</v>
      </c>
      <c r="H352" s="14" t="s">
        <v>2052</v>
      </c>
      <c r="I352" t="s">
        <v>864</v>
      </c>
      <c r="J352" s="14" t="s">
        <v>30</v>
      </c>
      <c r="K352" s="15">
        <v>45367</v>
      </c>
      <c r="L352" s="14" t="s">
        <v>3539</v>
      </c>
      <c r="M352" t="s">
        <v>3523</v>
      </c>
      <c r="N352" s="15"/>
      <c r="O352" s="14"/>
      <c r="P352">
        <v>84</v>
      </c>
    </row>
    <row r="353" spans="1:16" x14ac:dyDescent="0.3">
      <c r="A353">
        <v>352</v>
      </c>
      <c r="B353" s="14" t="s">
        <v>2573</v>
      </c>
      <c r="C353" s="14" t="s">
        <v>357</v>
      </c>
      <c r="D353" s="14" t="s">
        <v>3490</v>
      </c>
      <c r="E353" s="14" t="s">
        <v>1118</v>
      </c>
      <c r="F353" s="14" t="s">
        <v>1364</v>
      </c>
      <c r="G353" s="14" t="s">
        <v>1830</v>
      </c>
      <c r="H353" s="14" t="s">
        <v>2059</v>
      </c>
      <c r="I353" t="s">
        <v>865</v>
      </c>
      <c r="J353" s="14" t="s">
        <v>36</v>
      </c>
      <c r="K353" s="15">
        <v>45368</v>
      </c>
      <c r="L353" s="14" t="s">
        <v>2848</v>
      </c>
      <c r="M353" t="s">
        <v>3500</v>
      </c>
      <c r="N353" s="15">
        <v>45372</v>
      </c>
      <c r="O353" s="14"/>
      <c r="P353">
        <v>83</v>
      </c>
    </row>
    <row r="354" spans="1:16" x14ac:dyDescent="0.3">
      <c r="A354">
        <v>353</v>
      </c>
      <c r="B354" s="14" t="s">
        <v>2574</v>
      </c>
      <c r="C354" s="14" t="s">
        <v>358</v>
      </c>
      <c r="D354" s="14" t="s">
        <v>3490</v>
      </c>
      <c r="E354" s="14" t="s">
        <v>1118</v>
      </c>
      <c r="F354" s="14" t="s">
        <v>1365</v>
      </c>
      <c r="G354" s="14" t="s">
        <v>1831</v>
      </c>
      <c r="H354" s="14"/>
      <c r="I354" t="s">
        <v>866</v>
      </c>
      <c r="J354" s="14" t="s">
        <v>35</v>
      </c>
      <c r="K354" s="15">
        <v>45368</v>
      </c>
      <c r="L354" s="14" t="s">
        <v>3539</v>
      </c>
      <c r="M354" t="s">
        <v>3523</v>
      </c>
      <c r="N354" s="15"/>
      <c r="O354" s="14"/>
      <c r="P354">
        <v>83</v>
      </c>
    </row>
    <row r="355" spans="1:16" x14ac:dyDescent="0.3">
      <c r="A355">
        <v>354</v>
      </c>
      <c r="B355" s="14" t="s">
        <v>2575</v>
      </c>
      <c r="C355" s="14" t="s">
        <v>2203</v>
      </c>
      <c r="D355" s="14" t="s">
        <v>3490</v>
      </c>
      <c r="E355" s="14" t="s">
        <v>1118</v>
      </c>
      <c r="F355" s="14" t="s">
        <v>1366</v>
      </c>
      <c r="G355" s="14" t="s">
        <v>1832</v>
      </c>
      <c r="H355" s="14"/>
      <c r="I355" t="s">
        <v>867</v>
      </c>
      <c r="J355" s="14" t="s">
        <v>35</v>
      </c>
      <c r="K355" s="15">
        <v>45368</v>
      </c>
      <c r="L355" s="14" t="s">
        <v>3539</v>
      </c>
      <c r="M355" t="s">
        <v>3523</v>
      </c>
      <c r="N355" s="15"/>
      <c r="O355" s="14"/>
      <c r="P355">
        <v>83</v>
      </c>
    </row>
    <row r="356" spans="1:16" x14ac:dyDescent="0.3">
      <c r="A356">
        <v>355</v>
      </c>
      <c r="B356" s="14" t="s">
        <v>2576</v>
      </c>
      <c r="C356" s="14" t="s">
        <v>359</v>
      </c>
      <c r="D356" s="14" t="s">
        <v>3490</v>
      </c>
      <c r="E356" s="14" t="s">
        <v>1113</v>
      </c>
      <c r="F356" s="14" t="s">
        <v>1367</v>
      </c>
      <c r="G356" s="14" t="s">
        <v>1833</v>
      </c>
      <c r="H356" s="14" t="s">
        <v>2080</v>
      </c>
      <c r="I356" t="s">
        <v>868</v>
      </c>
      <c r="J356" s="14" t="s">
        <v>44</v>
      </c>
      <c r="K356" s="15">
        <v>45368</v>
      </c>
      <c r="L356" s="14" t="s">
        <v>3539</v>
      </c>
      <c r="M356" t="s">
        <v>3500</v>
      </c>
      <c r="N356" s="15">
        <v>45378</v>
      </c>
      <c r="O356" s="14"/>
      <c r="P356">
        <v>83</v>
      </c>
    </row>
    <row r="357" spans="1:16" x14ac:dyDescent="0.3">
      <c r="A357">
        <v>356</v>
      </c>
      <c r="B357" s="14" t="s">
        <v>2577</v>
      </c>
      <c r="C357" s="14" t="s">
        <v>360</v>
      </c>
      <c r="D357" s="14" t="s">
        <v>3490</v>
      </c>
      <c r="E357" s="14" t="s">
        <v>1118</v>
      </c>
      <c r="F357" s="14" t="s">
        <v>1368</v>
      </c>
      <c r="G357" s="14" t="s">
        <v>1834</v>
      </c>
      <c r="H357" s="14" t="s">
        <v>2052</v>
      </c>
      <c r="I357" t="s">
        <v>869</v>
      </c>
      <c r="J357" s="14" t="s">
        <v>35</v>
      </c>
      <c r="K357" s="15">
        <v>45368</v>
      </c>
      <c r="L357" s="14" t="s">
        <v>3539</v>
      </c>
      <c r="M357" t="s">
        <v>3523</v>
      </c>
      <c r="N357" s="15"/>
      <c r="O357" s="14"/>
      <c r="P357">
        <v>83</v>
      </c>
    </row>
    <row r="358" spans="1:16" x14ac:dyDescent="0.3">
      <c r="A358">
        <v>357</v>
      </c>
      <c r="B358" s="14" t="s">
        <v>2578</v>
      </c>
      <c r="C358" s="14" t="s">
        <v>361</v>
      </c>
      <c r="D358" s="14" t="s">
        <v>3490</v>
      </c>
      <c r="E358" s="14" t="s">
        <v>1118</v>
      </c>
      <c r="F358" s="14" t="s">
        <v>1143</v>
      </c>
      <c r="G358" s="14" t="s">
        <v>1835</v>
      </c>
      <c r="H358" s="14"/>
      <c r="I358" t="s">
        <v>870</v>
      </c>
      <c r="J358" s="14" t="s">
        <v>35</v>
      </c>
      <c r="K358" s="15">
        <v>45369</v>
      </c>
      <c r="L358" s="14" t="s">
        <v>3539</v>
      </c>
      <c r="M358" t="s">
        <v>3523</v>
      </c>
      <c r="N358" s="15"/>
      <c r="O358" s="14"/>
      <c r="P358">
        <v>82</v>
      </c>
    </row>
    <row r="359" spans="1:16" x14ac:dyDescent="0.3">
      <c r="A359">
        <v>358</v>
      </c>
      <c r="B359" s="14" t="s">
        <v>2579</v>
      </c>
      <c r="C359" s="14" t="s">
        <v>362</v>
      </c>
      <c r="D359" s="14" t="s">
        <v>3490</v>
      </c>
      <c r="E359" s="14" t="s">
        <v>1114</v>
      </c>
      <c r="F359" s="14" t="s">
        <v>55</v>
      </c>
      <c r="G359" s="14"/>
      <c r="H359" s="14"/>
      <c r="I359" t="s">
        <v>871</v>
      </c>
      <c r="J359" s="14" t="s">
        <v>55</v>
      </c>
      <c r="K359" s="15">
        <v>45369</v>
      </c>
      <c r="L359" s="14" t="s">
        <v>2848</v>
      </c>
      <c r="M359" t="s">
        <v>3524</v>
      </c>
      <c r="N359" s="15"/>
      <c r="O359" s="14" t="s">
        <v>3521</v>
      </c>
    </row>
    <row r="360" spans="1:16" x14ac:dyDescent="0.3">
      <c r="A360">
        <v>359</v>
      </c>
      <c r="B360" s="14" t="s">
        <v>2580</v>
      </c>
      <c r="C360" s="14" t="s">
        <v>363</v>
      </c>
      <c r="D360" s="14" t="s">
        <v>3490</v>
      </c>
      <c r="E360" s="14" t="s">
        <v>1114</v>
      </c>
      <c r="F360" s="14" t="s">
        <v>55</v>
      </c>
      <c r="G360" s="14"/>
      <c r="H360" s="14"/>
      <c r="I360" t="s">
        <v>872</v>
      </c>
      <c r="J360" s="14" t="s">
        <v>55</v>
      </c>
      <c r="K360" s="15">
        <v>45369</v>
      </c>
      <c r="L360" s="14" t="s">
        <v>2848</v>
      </c>
      <c r="M360" t="s">
        <v>3523</v>
      </c>
      <c r="N360" s="15"/>
      <c r="O360" s="14"/>
      <c r="P360">
        <v>82</v>
      </c>
    </row>
    <row r="361" spans="1:16" x14ac:dyDescent="0.3">
      <c r="A361">
        <v>360</v>
      </c>
      <c r="B361" s="14" t="s">
        <v>2581</v>
      </c>
      <c r="C361" s="14" t="s">
        <v>2204</v>
      </c>
      <c r="D361" s="14" t="s">
        <v>3490</v>
      </c>
      <c r="E361" s="14" t="s">
        <v>1116</v>
      </c>
      <c r="F361" s="14" t="s">
        <v>1369</v>
      </c>
      <c r="G361" s="14"/>
      <c r="H361" s="14"/>
      <c r="I361" t="s">
        <v>873</v>
      </c>
      <c r="J361" s="14" t="s">
        <v>55</v>
      </c>
      <c r="K361" s="15">
        <v>45369</v>
      </c>
      <c r="L361" s="14" t="s">
        <v>2848</v>
      </c>
      <c r="M361" t="s">
        <v>3524</v>
      </c>
      <c r="N361" s="15"/>
      <c r="O361" s="14" t="s">
        <v>3521</v>
      </c>
    </row>
    <row r="362" spans="1:16" x14ac:dyDescent="0.3">
      <c r="A362">
        <v>361</v>
      </c>
      <c r="B362" s="14" t="s">
        <v>2582</v>
      </c>
      <c r="C362" s="14" t="s">
        <v>364</v>
      </c>
      <c r="D362" s="14" t="s">
        <v>3490</v>
      </c>
      <c r="E362" s="14" t="s">
        <v>1114</v>
      </c>
      <c r="F362" s="14" t="s">
        <v>1369</v>
      </c>
      <c r="G362" s="14" t="s">
        <v>1836</v>
      </c>
      <c r="H362" s="14"/>
      <c r="I362" t="s">
        <v>874</v>
      </c>
      <c r="J362" s="14" t="s">
        <v>55</v>
      </c>
      <c r="K362" s="15">
        <v>45369</v>
      </c>
      <c r="L362" s="14" t="s">
        <v>2848</v>
      </c>
      <c r="M362" t="s">
        <v>3524</v>
      </c>
      <c r="N362" s="15"/>
      <c r="O362" s="14" t="s">
        <v>3521</v>
      </c>
    </row>
    <row r="363" spans="1:16" x14ac:dyDescent="0.3">
      <c r="A363">
        <v>362</v>
      </c>
      <c r="B363" s="14" t="s">
        <v>2583</v>
      </c>
      <c r="C363" s="14" t="s">
        <v>365</v>
      </c>
      <c r="D363" s="14" t="s">
        <v>3490</v>
      </c>
      <c r="E363" s="14" t="s">
        <v>1118</v>
      </c>
      <c r="F363" s="14" t="s">
        <v>1370</v>
      </c>
      <c r="G363" s="14" t="s">
        <v>1837</v>
      </c>
      <c r="H363" s="14" t="s">
        <v>2054</v>
      </c>
      <c r="I363" t="s">
        <v>875</v>
      </c>
      <c r="J363" s="14" t="s">
        <v>44</v>
      </c>
      <c r="K363" s="15">
        <v>45369</v>
      </c>
      <c r="L363" s="14" t="s">
        <v>3539</v>
      </c>
      <c r="M363" t="s">
        <v>3500</v>
      </c>
      <c r="N363" s="15">
        <v>45378</v>
      </c>
      <c r="O363" s="14"/>
      <c r="P363">
        <v>82</v>
      </c>
    </row>
    <row r="364" spans="1:16" x14ac:dyDescent="0.3">
      <c r="A364">
        <v>363</v>
      </c>
      <c r="B364" s="14" t="s">
        <v>2584</v>
      </c>
      <c r="C364" s="14" t="s">
        <v>366</v>
      </c>
      <c r="D364" s="14" t="s">
        <v>3490</v>
      </c>
      <c r="E364" s="14" t="s">
        <v>1118</v>
      </c>
      <c r="F364" s="14" t="s">
        <v>1371</v>
      </c>
      <c r="G364" s="14" t="s">
        <v>1838</v>
      </c>
      <c r="H364" s="14"/>
      <c r="I364" t="s">
        <v>876</v>
      </c>
      <c r="J364" s="14" t="s">
        <v>44</v>
      </c>
      <c r="K364" s="15">
        <v>45369</v>
      </c>
      <c r="L364" s="14" t="s">
        <v>3539</v>
      </c>
      <c r="M364" t="s">
        <v>3523</v>
      </c>
      <c r="N364" s="15"/>
      <c r="O364" s="14"/>
      <c r="P364">
        <v>82</v>
      </c>
    </row>
    <row r="365" spans="1:16" x14ac:dyDescent="0.3">
      <c r="A365">
        <v>364</v>
      </c>
      <c r="B365" s="14" t="s">
        <v>2585</v>
      </c>
      <c r="C365" s="14" t="s">
        <v>2205</v>
      </c>
      <c r="D365" s="14" t="s">
        <v>3490</v>
      </c>
      <c r="E365" s="14" t="s">
        <v>1116</v>
      </c>
      <c r="F365" s="14" t="s">
        <v>1369</v>
      </c>
      <c r="G365" s="14"/>
      <c r="H365" s="14"/>
      <c r="I365" t="s">
        <v>877</v>
      </c>
      <c r="J365" s="14" t="s">
        <v>55</v>
      </c>
      <c r="K365" s="15">
        <v>45369</v>
      </c>
      <c r="L365" s="14" t="s">
        <v>2848</v>
      </c>
      <c r="M365" t="s">
        <v>3523</v>
      </c>
      <c r="N365" s="15"/>
      <c r="O365" s="14"/>
      <c r="P365">
        <v>82</v>
      </c>
    </row>
    <row r="366" spans="1:16" x14ac:dyDescent="0.3">
      <c r="A366">
        <v>365</v>
      </c>
      <c r="B366" s="14" t="s">
        <v>2586</v>
      </c>
      <c r="C366" s="14" t="s">
        <v>367</v>
      </c>
      <c r="D366" s="14" t="s">
        <v>3489</v>
      </c>
      <c r="E366" s="14" t="s">
        <v>1118</v>
      </c>
      <c r="F366" s="14" t="s">
        <v>1358</v>
      </c>
      <c r="G366" s="14" t="s">
        <v>1839</v>
      </c>
      <c r="H366" s="14"/>
      <c r="I366" t="s">
        <v>878</v>
      </c>
      <c r="J366" s="14" t="s">
        <v>45</v>
      </c>
      <c r="K366" s="15">
        <v>45370</v>
      </c>
      <c r="L366" s="14" t="s">
        <v>2848</v>
      </c>
      <c r="M366" t="s">
        <v>3523</v>
      </c>
      <c r="N366" s="15"/>
      <c r="O366" s="14"/>
      <c r="P366">
        <v>81</v>
      </c>
    </row>
    <row r="367" spans="1:16" x14ac:dyDescent="0.3">
      <c r="A367">
        <v>366</v>
      </c>
      <c r="B367" s="14" t="s">
        <v>2587</v>
      </c>
      <c r="C367" s="14" t="s">
        <v>368</v>
      </c>
      <c r="D367" s="14" t="s">
        <v>3490</v>
      </c>
      <c r="E367" s="14" t="s">
        <v>1118</v>
      </c>
      <c r="F367" s="14" t="s">
        <v>1362</v>
      </c>
      <c r="G367" s="14" t="s">
        <v>1840</v>
      </c>
      <c r="H367" s="14"/>
      <c r="I367" t="s">
        <v>879</v>
      </c>
      <c r="J367" s="14" t="s">
        <v>44</v>
      </c>
      <c r="K367" s="15">
        <v>45370</v>
      </c>
      <c r="L367" s="14" t="s">
        <v>3539</v>
      </c>
      <c r="M367" t="s">
        <v>3523</v>
      </c>
      <c r="N367" s="15"/>
      <c r="O367" s="14"/>
      <c r="P367">
        <v>81</v>
      </c>
    </row>
    <row r="368" spans="1:16" x14ac:dyDescent="0.3">
      <c r="A368">
        <v>367</v>
      </c>
      <c r="B368" s="14" t="s">
        <v>2588</v>
      </c>
      <c r="C368" s="14" t="s">
        <v>369</v>
      </c>
      <c r="D368" s="14" t="s">
        <v>3489</v>
      </c>
      <c r="E368" s="14" t="s">
        <v>1118</v>
      </c>
      <c r="F368" s="14" t="s">
        <v>1372</v>
      </c>
      <c r="G368" s="14" t="s">
        <v>1841</v>
      </c>
      <c r="H368" s="14"/>
      <c r="I368" t="s">
        <v>880</v>
      </c>
      <c r="J368" s="14" t="s">
        <v>30</v>
      </c>
      <c r="K368" s="15">
        <v>45370</v>
      </c>
      <c r="L368" s="14" t="s">
        <v>3539</v>
      </c>
      <c r="M368" t="s">
        <v>3523</v>
      </c>
      <c r="N368" s="15"/>
      <c r="O368" s="14"/>
      <c r="P368">
        <v>81</v>
      </c>
    </row>
    <row r="369" spans="1:16" x14ac:dyDescent="0.3">
      <c r="A369">
        <v>368</v>
      </c>
      <c r="B369" s="14" t="s">
        <v>2589</v>
      </c>
      <c r="C369" s="14" t="s">
        <v>2206</v>
      </c>
      <c r="D369" s="14" t="s">
        <v>3490</v>
      </c>
      <c r="E369" s="14" t="s">
        <v>1118</v>
      </c>
      <c r="F369" s="14" t="s">
        <v>1373</v>
      </c>
      <c r="G369" s="14" t="s">
        <v>1842</v>
      </c>
      <c r="H369" s="14"/>
      <c r="I369" t="s">
        <v>881</v>
      </c>
      <c r="J369" s="14" t="s">
        <v>35</v>
      </c>
      <c r="K369" s="15">
        <v>45371</v>
      </c>
      <c r="L369" s="14" t="s">
        <v>2848</v>
      </c>
      <c r="M369" t="s">
        <v>3523</v>
      </c>
      <c r="N369" s="15"/>
      <c r="O369" s="14"/>
      <c r="P369">
        <v>80</v>
      </c>
    </row>
    <row r="370" spans="1:16" x14ac:dyDescent="0.3">
      <c r="A370">
        <v>369</v>
      </c>
      <c r="B370" s="14" t="s">
        <v>2590</v>
      </c>
      <c r="C370" s="14" t="s">
        <v>2130</v>
      </c>
      <c r="D370" s="14" t="s">
        <v>3490</v>
      </c>
      <c r="E370" s="14" t="s">
        <v>1113</v>
      </c>
      <c r="F370" s="14" t="s">
        <v>42</v>
      </c>
      <c r="G370" s="14" t="s">
        <v>1843</v>
      </c>
      <c r="H370" s="14" t="s">
        <v>2052</v>
      </c>
      <c r="I370" t="s">
        <v>882</v>
      </c>
      <c r="J370" s="14" t="s">
        <v>30</v>
      </c>
      <c r="K370" s="15">
        <v>45371</v>
      </c>
      <c r="L370" s="14" t="s">
        <v>3539</v>
      </c>
      <c r="M370" t="s">
        <v>3524</v>
      </c>
      <c r="N370" s="15"/>
      <c r="O370" s="14" t="s">
        <v>3521</v>
      </c>
    </row>
    <row r="371" spans="1:16" x14ac:dyDescent="0.3">
      <c r="A371">
        <v>370</v>
      </c>
      <c r="B371" s="14" t="s">
        <v>2591</v>
      </c>
      <c r="C371" s="14" t="s">
        <v>370</v>
      </c>
      <c r="D371" s="14" t="s">
        <v>3490</v>
      </c>
      <c r="E371" s="14" t="s">
        <v>1118</v>
      </c>
      <c r="F371" s="14" t="s">
        <v>1374</v>
      </c>
      <c r="G371" s="14" t="s">
        <v>1844</v>
      </c>
      <c r="H371" s="14"/>
      <c r="I371" t="s">
        <v>883</v>
      </c>
      <c r="J371" s="14" t="s">
        <v>36</v>
      </c>
      <c r="K371" s="15">
        <v>45371</v>
      </c>
      <c r="L371" s="14" t="s">
        <v>2848</v>
      </c>
      <c r="M371" t="s">
        <v>3523</v>
      </c>
      <c r="N371" s="15"/>
      <c r="O371" s="14"/>
      <c r="P371">
        <v>80</v>
      </c>
    </row>
    <row r="372" spans="1:16" x14ac:dyDescent="0.3">
      <c r="A372">
        <v>371</v>
      </c>
      <c r="B372" s="14" t="s">
        <v>2592</v>
      </c>
      <c r="C372" s="14" t="s">
        <v>2207</v>
      </c>
      <c r="D372" s="14" t="s">
        <v>3489</v>
      </c>
      <c r="E372" s="14" t="s">
        <v>1118</v>
      </c>
      <c r="F372" s="14" t="s">
        <v>1305</v>
      </c>
      <c r="G372" s="14" t="s">
        <v>1845</v>
      </c>
      <c r="H372" s="14"/>
      <c r="I372" t="s">
        <v>884</v>
      </c>
      <c r="J372" s="14" t="s">
        <v>45</v>
      </c>
      <c r="K372" s="15">
        <v>45372</v>
      </c>
      <c r="L372" s="14" t="s">
        <v>2848</v>
      </c>
      <c r="M372" t="s">
        <v>3523</v>
      </c>
      <c r="N372" s="15"/>
      <c r="O372" s="14"/>
      <c r="P372">
        <v>79</v>
      </c>
    </row>
    <row r="373" spans="1:16" x14ac:dyDescent="0.3">
      <c r="A373">
        <v>372</v>
      </c>
      <c r="B373" s="14" t="s">
        <v>2593</v>
      </c>
      <c r="C373" s="14" t="s">
        <v>371</v>
      </c>
      <c r="D373" s="14" t="s">
        <v>3489</v>
      </c>
      <c r="E373" s="14" t="s">
        <v>1118</v>
      </c>
      <c r="F373" s="14" t="s">
        <v>1358</v>
      </c>
      <c r="G373" s="14" t="s">
        <v>1846</v>
      </c>
      <c r="H373" s="14"/>
      <c r="I373" t="s">
        <v>885</v>
      </c>
      <c r="J373" s="14" t="s">
        <v>70</v>
      </c>
      <c r="K373" s="15">
        <v>45373</v>
      </c>
      <c r="L373" s="14" t="s">
        <v>2848</v>
      </c>
      <c r="M373" t="s">
        <v>3523</v>
      </c>
      <c r="N373" s="15"/>
      <c r="O373" s="14"/>
      <c r="P373">
        <v>78</v>
      </c>
    </row>
    <row r="374" spans="1:16" x14ac:dyDescent="0.3">
      <c r="A374">
        <v>373</v>
      </c>
      <c r="B374" s="14" t="s">
        <v>2594</v>
      </c>
      <c r="C374" s="14" t="s">
        <v>372</v>
      </c>
      <c r="D374" s="14" t="s">
        <v>3490</v>
      </c>
      <c r="E374" s="14" t="s">
        <v>1113</v>
      </c>
      <c r="F374" s="14" t="s">
        <v>1375</v>
      </c>
      <c r="G374" s="14" t="s">
        <v>1847</v>
      </c>
      <c r="H374" s="14" t="s">
        <v>2080</v>
      </c>
      <c r="I374" t="s">
        <v>886</v>
      </c>
      <c r="J374" s="14" t="s">
        <v>44</v>
      </c>
      <c r="K374" s="15">
        <v>45374</v>
      </c>
      <c r="L374" s="14" t="s">
        <v>3539</v>
      </c>
      <c r="M374" t="s">
        <v>3501</v>
      </c>
      <c r="N374" s="15">
        <v>45411</v>
      </c>
      <c r="O374" s="14" t="s">
        <v>3521</v>
      </c>
      <c r="P374">
        <v>37</v>
      </c>
    </row>
    <row r="375" spans="1:16" x14ac:dyDescent="0.3">
      <c r="A375">
        <v>374</v>
      </c>
      <c r="B375" s="14" t="s">
        <v>2595</v>
      </c>
      <c r="C375" s="14" t="s">
        <v>373</v>
      </c>
      <c r="D375" s="14" t="s">
        <v>3490</v>
      </c>
      <c r="E375" s="14" t="s">
        <v>1118</v>
      </c>
      <c r="F375" s="14" t="s">
        <v>1259</v>
      </c>
      <c r="G375" s="14" t="s">
        <v>1590</v>
      </c>
      <c r="H375" s="14" t="s">
        <v>2075</v>
      </c>
      <c r="I375" t="s">
        <v>887</v>
      </c>
      <c r="J375" s="14" t="s">
        <v>36</v>
      </c>
      <c r="K375" s="15">
        <v>45376</v>
      </c>
      <c r="L375" s="14" t="s">
        <v>2848</v>
      </c>
      <c r="M375" t="s">
        <v>3500</v>
      </c>
      <c r="N375" s="15">
        <v>45377</v>
      </c>
      <c r="O375" s="14"/>
      <c r="P375">
        <v>75</v>
      </c>
    </row>
    <row r="376" spans="1:16" x14ac:dyDescent="0.3">
      <c r="A376">
        <v>375</v>
      </c>
      <c r="B376" s="14" t="s">
        <v>2596</v>
      </c>
      <c r="C376" s="14" t="s">
        <v>374</v>
      </c>
      <c r="D376" s="14" t="s">
        <v>3490</v>
      </c>
      <c r="E376" s="14" t="s">
        <v>1113</v>
      </c>
      <c r="F376" s="14" t="s">
        <v>1376</v>
      </c>
      <c r="G376" s="14" t="s">
        <v>1848</v>
      </c>
      <c r="H376" s="14"/>
      <c r="I376" t="s">
        <v>888</v>
      </c>
      <c r="J376" s="14" t="s">
        <v>44</v>
      </c>
      <c r="K376" s="15">
        <v>45376</v>
      </c>
      <c r="L376" s="14" t="s">
        <v>3539</v>
      </c>
      <c r="M376" t="s">
        <v>3524</v>
      </c>
      <c r="N376" s="15"/>
      <c r="O376" s="14" t="s">
        <v>3521</v>
      </c>
    </row>
    <row r="377" spans="1:16" x14ac:dyDescent="0.3">
      <c r="A377">
        <v>376</v>
      </c>
      <c r="B377" s="14" t="s">
        <v>2597</v>
      </c>
      <c r="C377" s="14" t="s">
        <v>375</v>
      </c>
      <c r="D377" s="14" t="s">
        <v>3490</v>
      </c>
      <c r="E377" s="14" t="s">
        <v>1116</v>
      </c>
      <c r="F377" s="14" t="s">
        <v>55</v>
      </c>
      <c r="G377" s="14"/>
      <c r="H377" s="14"/>
      <c r="I377" t="s">
        <v>889</v>
      </c>
      <c r="J377" s="14" t="s">
        <v>55</v>
      </c>
      <c r="K377" s="15">
        <v>45377</v>
      </c>
      <c r="L377" s="14" t="s">
        <v>2848</v>
      </c>
      <c r="M377" t="s">
        <v>3524</v>
      </c>
      <c r="N377" s="15"/>
      <c r="O377" s="14" t="s">
        <v>3521</v>
      </c>
    </row>
    <row r="378" spans="1:16" x14ac:dyDescent="0.3">
      <c r="A378">
        <v>377</v>
      </c>
      <c r="B378" s="14" t="s">
        <v>2598</v>
      </c>
      <c r="C378" s="14" t="s">
        <v>2208</v>
      </c>
      <c r="D378" s="14" t="s">
        <v>3490</v>
      </c>
      <c r="E378" s="14" t="s">
        <v>1116</v>
      </c>
      <c r="F378" s="14" t="s">
        <v>55</v>
      </c>
      <c r="G378" s="14"/>
      <c r="H378" s="14"/>
      <c r="I378" t="s">
        <v>890</v>
      </c>
      <c r="J378" s="14" t="s">
        <v>55</v>
      </c>
      <c r="K378" s="15">
        <v>45377</v>
      </c>
      <c r="L378" s="14" t="s">
        <v>2848</v>
      </c>
      <c r="M378" t="s">
        <v>3523</v>
      </c>
      <c r="N378" s="15"/>
      <c r="O378" s="14"/>
      <c r="P378">
        <v>74</v>
      </c>
    </row>
    <row r="379" spans="1:16" x14ac:dyDescent="0.3">
      <c r="A379">
        <v>378</v>
      </c>
      <c r="B379" s="14" t="s">
        <v>2599</v>
      </c>
      <c r="C379" s="14" t="s">
        <v>2209</v>
      </c>
      <c r="D379" s="14" t="s">
        <v>3490</v>
      </c>
      <c r="E379" s="14" t="s">
        <v>1116</v>
      </c>
      <c r="F379" s="14" t="s">
        <v>55</v>
      </c>
      <c r="G379" s="14"/>
      <c r="H379" s="14"/>
      <c r="I379" t="s">
        <v>891</v>
      </c>
      <c r="J379" s="14" t="s">
        <v>55</v>
      </c>
      <c r="K379" s="15">
        <v>45377</v>
      </c>
      <c r="L379" s="14" t="s">
        <v>2848</v>
      </c>
      <c r="M379" t="s">
        <v>3523</v>
      </c>
      <c r="N379" s="15"/>
      <c r="O379" s="14"/>
      <c r="P379">
        <v>74</v>
      </c>
    </row>
    <row r="380" spans="1:16" x14ac:dyDescent="0.3">
      <c r="A380">
        <v>379</v>
      </c>
      <c r="B380" s="14" t="s">
        <v>2600</v>
      </c>
      <c r="C380" s="14" t="s">
        <v>376</v>
      </c>
      <c r="D380" s="14" t="s">
        <v>3490</v>
      </c>
      <c r="E380" s="14" t="s">
        <v>1116</v>
      </c>
      <c r="F380" s="14" t="s">
        <v>1369</v>
      </c>
      <c r="G380" s="14" t="s">
        <v>1849</v>
      </c>
      <c r="H380" s="14"/>
      <c r="I380" t="s">
        <v>892</v>
      </c>
      <c r="J380" s="14" t="s">
        <v>55</v>
      </c>
      <c r="K380" s="15">
        <v>45377</v>
      </c>
      <c r="L380" s="14" t="s">
        <v>2848</v>
      </c>
      <c r="M380" t="s">
        <v>3523</v>
      </c>
      <c r="N380" s="15"/>
      <c r="O380" s="14"/>
      <c r="P380">
        <v>74</v>
      </c>
    </row>
    <row r="381" spans="1:16" x14ac:dyDescent="0.3">
      <c r="A381">
        <v>380</v>
      </c>
      <c r="B381" s="14" t="s">
        <v>2601</v>
      </c>
      <c r="C381" s="14" t="s">
        <v>2210</v>
      </c>
      <c r="D381" s="14" t="s">
        <v>3490</v>
      </c>
      <c r="E381" s="14" t="s">
        <v>1116</v>
      </c>
      <c r="F381" s="14" t="s">
        <v>55</v>
      </c>
      <c r="G381" s="14" t="s">
        <v>1850</v>
      </c>
      <c r="H381" s="14" t="s">
        <v>2052</v>
      </c>
      <c r="I381" t="s">
        <v>893</v>
      </c>
      <c r="J381" s="14" t="s">
        <v>55</v>
      </c>
      <c r="K381" s="15">
        <v>45377</v>
      </c>
      <c r="L381" s="14" t="s">
        <v>2848</v>
      </c>
      <c r="M381" t="s">
        <v>3523</v>
      </c>
      <c r="N381" s="15"/>
      <c r="O381" s="14"/>
      <c r="P381">
        <v>74</v>
      </c>
    </row>
    <row r="382" spans="1:16" x14ac:dyDescent="0.3">
      <c r="A382">
        <v>381</v>
      </c>
      <c r="B382" s="14" t="s">
        <v>2602</v>
      </c>
      <c r="C382" s="14" t="s">
        <v>377</v>
      </c>
      <c r="D382" s="14" t="s">
        <v>3489</v>
      </c>
      <c r="E382" s="14" t="s">
        <v>1118</v>
      </c>
      <c r="F382" s="14" t="s">
        <v>1377</v>
      </c>
      <c r="G382" s="14" t="s">
        <v>1851</v>
      </c>
      <c r="H382" s="14"/>
      <c r="I382" t="s">
        <v>894</v>
      </c>
      <c r="J382" s="14" t="s">
        <v>3525</v>
      </c>
      <c r="K382" s="15">
        <v>45377</v>
      </c>
      <c r="L382" s="14" t="s">
        <v>2848</v>
      </c>
      <c r="M382" t="s">
        <v>3523</v>
      </c>
      <c r="N382" s="15"/>
      <c r="O382" s="14"/>
      <c r="P382">
        <v>74</v>
      </c>
    </row>
    <row r="383" spans="1:16" x14ac:dyDescent="0.3">
      <c r="A383">
        <v>382</v>
      </c>
      <c r="B383" s="14" t="s">
        <v>2603</v>
      </c>
      <c r="C383" s="14" t="s">
        <v>2211</v>
      </c>
      <c r="D383" s="14" t="s">
        <v>3490</v>
      </c>
      <c r="E383" s="14" t="s">
        <v>1114</v>
      </c>
      <c r="F383" s="14" t="s">
        <v>55</v>
      </c>
      <c r="G383" s="14"/>
      <c r="H383" s="14"/>
      <c r="I383" t="s">
        <v>895</v>
      </c>
      <c r="J383" s="14" t="s">
        <v>55</v>
      </c>
      <c r="K383" s="15">
        <v>45377</v>
      </c>
      <c r="L383" s="14" t="s">
        <v>2848</v>
      </c>
      <c r="M383" t="s">
        <v>3523</v>
      </c>
      <c r="N383" s="15"/>
      <c r="O383" s="14"/>
      <c r="P383">
        <v>74</v>
      </c>
    </row>
    <row r="384" spans="1:16" x14ac:dyDescent="0.3">
      <c r="A384">
        <v>383</v>
      </c>
      <c r="B384" s="14" t="s">
        <v>2604</v>
      </c>
      <c r="C384" s="14" t="s">
        <v>378</v>
      </c>
      <c r="D384" s="14" t="s">
        <v>3489</v>
      </c>
      <c r="E384" s="14" t="s">
        <v>1118</v>
      </c>
      <c r="F384" s="14" t="s">
        <v>1378</v>
      </c>
      <c r="G384" s="14" t="s">
        <v>1852</v>
      </c>
      <c r="H384" s="14"/>
      <c r="I384" t="s">
        <v>896</v>
      </c>
      <c r="J384" s="14" t="s">
        <v>57</v>
      </c>
      <c r="K384" s="15">
        <v>45377</v>
      </c>
      <c r="L384" s="14" t="s">
        <v>3539</v>
      </c>
      <c r="M384" t="s">
        <v>3523</v>
      </c>
      <c r="N384" s="15"/>
      <c r="O384" s="14"/>
      <c r="P384">
        <v>74</v>
      </c>
    </row>
    <row r="385" spans="1:16" x14ac:dyDescent="0.3">
      <c r="A385">
        <v>384</v>
      </c>
      <c r="B385" s="14" t="s">
        <v>2605</v>
      </c>
      <c r="C385" s="14" t="s">
        <v>2212</v>
      </c>
      <c r="D385" s="14" t="s">
        <v>3490</v>
      </c>
      <c r="E385" s="14" t="s">
        <v>1114</v>
      </c>
      <c r="F385" s="14" t="s">
        <v>55</v>
      </c>
      <c r="G385" s="14"/>
      <c r="H385" s="14"/>
      <c r="I385" t="s">
        <v>897</v>
      </c>
      <c r="J385" s="14" t="s">
        <v>55</v>
      </c>
      <c r="K385" s="15">
        <v>45378</v>
      </c>
      <c r="L385" s="14" t="s">
        <v>2848</v>
      </c>
      <c r="M385" t="s">
        <v>3523</v>
      </c>
      <c r="N385" s="15"/>
      <c r="O385" s="14"/>
      <c r="P385">
        <v>73</v>
      </c>
    </row>
    <row r="386" spans="1:16" x14ac:dyDescent="0.3">
      <c r="A386">
        <v>385</v>
      </c>
      <c r="B386" s="14" t="s">
        <v>2606</v>
      </c>
      <c r="C386" s="14" t="s">
        <v>379</v>
      </c>
      <c r="D386" s="14" t="s">
        <v>3489</v>
      </c>
      <c r="E386" s="14" t="s">
        <v>1118</v>
      </c>
      <c r="F386" s="14" t="s">
        <v>1304</v>
      </c>
      <c r="G386" s="14" t="s">
        <v>1798</v>
      </c>
      <c r="H386" s="14" t="s">
        <v>2088</v>
      </c>
      <c r="I386" t="s">
        <v>898</v>
      </c>
      <c r="J386" s="14" t="s">
        <v>62</v>
      </c>
      <c r="K386" s="15">
        <v>45378</v>
      </c>
      <c r="L386" s="14" t="s">
        <v>2848</v>
      </c>
      <c r="M386" t="s">
        <v>3500</v>
      </c>
      <c r="N386" s="15">
        <v>45391</v>
      </c>
      <c r="O386" s="14" t="s">
        <v>3521</v>
      </c>
      <c r="P386">
        <v>13</v>
      </c>
    </row>
    <row r="387" spans="1:16" x14ac:dyDescent="0.3">
      <c r="A387">
        <v>386</v>
      </c>
      <c r="B387" s="14" t="s">
        <v>2607</v>
      </c>
      <c r="C387" s="14" t="s">
        <v>380</v>
      </c>
      <c r="D387" s="14" t="s">
        <v>3489</v>
      </c>
      <c r="E387" s="14" t="s">
        <v>1118</v>
      </c>
      <c r="F387" s="14" t="s">
        <v>1379</v>
      </c>
      <c r="G387" s="14" t="s">
        <v>1853</v>
      </c>
      <c r="H387" s="14" t="s">
        <v>2088</v>
      </c>
      <c r="I387" t="s">
        <v>899</v>
      </c>
      <c r="J387" s="14" t="s">
        <v>62</v>
      </c>
      <c r="K387" s="15">
        <v>45379</v>
      </c>
      <c r="L387" s="14" t="s">
        <v>2848</v>
      </c>
      <c r="M387" t="s">
        <v>3501</v>
      </c>
      <c r="N387" s="15">
        <v>45391</v>
      </c>
      <c r="O387" s="14" t="s">
        <v>2852</v>
      </c>
      <c r="P387">
        <v>12</v>
      </c>
    </row>
    <row r="388" spans="1:16" x14ac:dyDescent="0.3">
      <c r="A388">
        <v>387</v>
      </c>
      <c r="B388" s="14" t="s">
        <v>2608</v>
      </c>
      <c r="C388" s="14" t="s">
        <v>381</v>
      </c>
      <c r="D388" s="14" t="s">
        <v>3490</v>
      </c>
      <c r="E388" s="14" t="s">
        <v>1115</v>
      </c>
      <c r="F388" s="14"/>
      <c r="G388" s="14"/>
      <c r="H388" s="14"/>
      <c r="I388" t="s">
        <v>900</v>
      </c>
      <c r="J388" s="14" t="s">
        <v>36</v>
      </c>
      <c r="K388" s="15">
        <v>45379</v>
      </c>
      <c r="L388" s="14" t="s">
        <v>3539</v>
      </c>
      <c r="M388" t="s">
        <v>3524</v>
      </c>
      <c r="N388" s="15"/>
      <c r="O388" s="14" t="s">
        <v>3521</v>
      </c>
    </row>
    <row r="389" spans="1:16" x14ac:dyDescent="0.3">
      <c r="A389">
        <v>388</v>
      </c>
      <c r="B389" s="14" t="s">
        <v>2609</v>
      </c>
      <c r="C389" s="14" t="s">
        <v>382</v>
      </c>
      <c r="D389" s="14" t="s">
        <v>3490</v>
      </c>
      <c r="E389" s="14" t="s">
        <v>1118</v>
      </c>
      <c r="F389" s="14" t="s">
        <v>1380</v>
      </c>
      <c r="G389" s="14" t="s">
        <v>1854</v>
      </c>
      <c r="H389" s="14" t="s">
        <v>2088</v>
      </c>
      <c r="I389" t="s">
        <v>901</v>
      </c>
      <c r="J389" s="14" t="s">
        <v>44</v>
      </c>
      <c r="K389" s="15">
        <v>45379</v>
      </c>
      <c r="L389" s="14" t="s">
        <v>3539</v>
      </c>
      <c r="M389" t="s">
        <v>3500</v>
      </c>
      <c r="N389" s="15">
        <v>45385</v>
      </c>
      <c r="O389" s="14"/>
      <c r="P389">
        <v>72</v>
      </c>
    </row>
    <row r="390" spans="1:16" x14ac:dyDescent="0.3">
      <c r="A390">
        <v>389</v>
      </c>
      <c r="B390" s="14" t="s">
        <v>2610</v>
      </c>
      <c r="C390" s="14" t="s">
        <v>383</v>
      </c>
      <c r="D390" s="14" t="s">
        <v>3490</v>
      </c>
      <c r="E390" s="14" t="s">
        <v>1115</v>
      </c>
      <c r="F390" s="14" t="s">
        <v>1381</v>
      </c>
      <c r="G390" s="14" t="s">
        <v>1855</v>
      </c>
      <c r="H390" s="14" t="s">
        <v>2088</v>
      </c>
      <c r="I390" t="s">
        <v>902</v>
      </c>
      <c r="J390" s="14" t="s">
        <v>72</v>
      </c>
      <c r="K390" s="15">
        <v>45379</v>
      </c>
      <c r="L390" s="14" t="s">
        <v>3539</v>
      </c>
      <c r="M390" t="s">
        <v>3523</v>
      </c>
      <c r="N390" s="15"/>
      <c r="O390" s="14"/>
      <c r="P390">
        <v>72</v>
      </c>
    </row>
    <row r="391" spans="1:16" x14ac:dyDescent="0.3">
      <c r="A391">
        <v>390</v>
      </c>
      <c r="B391" s="14" t="s">
        <v>2611</v>
      </c>
      <c r="C391" s="14" t="s">
        <v>384</v>
      </c>
      <c r="D391" s="14" t="s">
        <v>3489</v>
      </c>
      <c r="E391" s="14" t="s">
        <v>1118</v>
      </c>
      <c r="F391" s="14" t="s">
        <v>1358</v>
      </c>
      <c r="G391" s="14" t="s">
        <v>1856</v>
      </c>
      <c r="H391" s="14" t="s">
        <v>2062</v>
      </c>
      <c r="I391" t="s">
        <v>903</v>
      </c>
      <c r="J391" s="14" t="s">
        <v>62</v>
      </c>
      <c r="K391" s="15">
        <v>45380</v>
      </c>
      <c r="L391" s="14" t="s">
        <v>2848</v>
      </c>
      <c r="M391" t="s">
        <v>3500</v>
      </c>
      <c r="N391" s="15">
        <v>45380</v>
      </c>
      <c r="O391" s="14" t="s">
        <v>3521</v>
      </c>
      <c r="P391">
        <v>0</v>
      </c>
    </row>
    <row r="392" spans="1:16" x14ac:dyDescent="0.3">
      <c r="A392">
        <v>391</v>
      </c>
      <c r="B392" s="14" t="s">
        <v>2612</v>
      </c>
      <c r="C392" s="14" t="s">
        <v>385</v>
      </c>
      <c r="D392" s="14" t="s">
        <v>3489</v>
      </c>
      <c r="E392" s="14" t="s">
        <v>1118</v>
      </c>
      <c r="F392" s="14" t="s">
        <v>1382</v>
      </c>
      <c r="G392" s="14" t="s">
        <v>1798</v>
      </c>
      <c r="H392" s="14" t="s">
        <v>2088</v>
      </c>
      <c r="I392" t="s">
        <v>904</v>
      </c>
      <c r="J392" s="14" t="s">
        <v>62</v>
      </c>
      <c r="K392" s="15">
        <v>45381</v>
      </c>
      <c r="L392" s="14" t="s">
        <v>2845</v>
      </c>
      <c r="M392" t="s">
        <v>3523</v>
      </c>
      <c r="N392" s="15"/>
      <c r="O392" s="14"/>
      <c r="P392">
        <v>70</v>
      </c>
    </row>
    <row r="393" spans="1:16" x14ac:dyDescent="0.3">
      <c r="A393">
        <v>392</v>
      </c>
      <c r="B393" s="14" t="s">
        <v>2613</v>
      </c>
      <c r="C393" s="14" t="s">
        <v>386</v>
      </c>
      <c r="D393" s="14" t="s">
        <v>3490</v>
      </c>
      <c r="E393" s="14" t="s">
        <v>1118</v>
      </c>
      <c r="F393" s="14" t="s">
        <v>1383</v>
      </c>
      <c r="G393" s="14" t="s">
        <v>1857</v>
      </c>
      <c r="H393" s="14" t="s">
        <v>2088</v>
      </c>
      <c r="I393" t="s">
        <v>905</v>
      </c>
      <c r="J393" s="14" t="s">
        <v>72</v>
      </c>
      <c r="K393" s="15">
        <v>45382</v>
      </c>
      <c r="L393" s="14" t="s">
        <v>3539</v>
      </c>
      <c r="M393" t="s">
        <v>3523</v>
      </c>
      <c r="N393" s="15"/>
      <c r="O393" s="14"/>
      <c r="P393">
        <v>69</v>
      </c>
    </row>
    <row r="394" spans="1:16" x14ac:dyDescent="0.3">
      <c r="A394">
        <v>393</v>
      </c>
      <c r="B394" s="14" t="s">
        <v>2614</v>
      </c>
      <c r="C394" s="14" t="s">
        <v>387</v>
      </c>
      <c r="D394" s="14" t="s">
        <v>3489</v>
      </c>
      <c r="E394" s="14" t="s">
        <v>1118</v>
      </c>
      <c r="F394" s="14" t="s">
        <v>1384</v>
      </c>
      <c r="G394" s="14" t="s">
        <v>1798</v>
      </c>
      <c r="H394" s="14" t="s">
        <v>2088</v>
      </c>
      <c r="I394" t="s">
        <v>906</v>
      </c>
      <c r="J394" s="14" t="s">
        <v>62</v>
      </c>
      <c r="K394" s="15">
        <v>45382</v>
      </c>
      <c r="L394" s="14" t="s">
        <v>2845</v>
      </c>
      <c r="M394" t="s">
        <v>3501</v>
      </c>
      <c r="N394" s="15">
        <v>45391</v>
      </c>
      <c r="O394" s="14" t="s">
        <v>3521</v>
      </c>
      <c r="P394">
        <v>9</v>
      </c>
    </row>
    <row r="395" spans="1:16" x14ac:dyDescent="0.3">
      <c r="A395">
        <v>394</v>
      </c>
      <c r="B395" s="14" t="s">
        <v>2615</v>
      </c>
      <c r="C395" s="14" t="s">
        <v>388</v>
      </c>
      <c r="D395" s="14"/>
      <c r="E395" s="14" t="s">
        <v>1115</v>
      </c>
      <c r="F395" s="14" t="s">
        <v>1351</v>
      </c>
      <c r="G395" s="14" t="s">
        <v>704</v>
      </c>
      <c r="H395" s="14" t="s">
        <v>704</v>
      </c>
      <c r="J395" s="14" t="s">
        <v>55</v>
      </c>
      <c r="K395" s="15">
        <v>45382</v>
      </c>
      <c r="L395" s="14" t="s">
        <v>2848</v>
      </c>
      <c r="M395" t="s">
        <v>3500</v>
      </c>
      <c r="N395" s="15">
        <v>45384</v>
      </c>
      <c r="O395" s="14" t="s">
        <v>3521</v>
      </c>
      <c r="P395">
        <v>2</v>
      </c>
    </row>
    <row r="396" spans="1:16" x14ac:dyDescent="0.3">
      <c r="A396">
        <v>395</v>
      </c>
      <c r="B396" s="14" t="s">
        <v>2616</v>
      </c>
      <c r="C396" s="14" t="s">
        <v>389</v>
      </c>
      <c r="D396" s="14" t="s">
        <v>3490</v>
      </c>
      <c r="E396" s="14" t="s">
        <v>1118</v>
      </c>
      <c r="F396" s="14" t="s">
        <v>1385</v>
      </c>
      <c r="G396" s="14" t="s">
        <v>1858</v>
      </c>
      <c r="H396" s="14" t="s">
        <v>2061</v>
      </c>
      <c r="I396" t="s">
        <v>907</v>
      </c>
      <c r="J396" s="14" t="s">
        <v>72</v>
      </c>
      <c r="K396" s="15">
        <v>45383</v>
      </c>
      <c r="L396" s="14" t="s">
        <v>2847</v>
      </c>
      <c r="M396" t="s">
        <v>3500</v>
      </c>
      <c r="N396" s="15">
        <v>45385</v>
      </c>
      <c r="O396" s="14"/>
      <c r="P396">
        <v>68</v>
      </c>
    </row>
    <row r="397" spans="1:16" x14ac:dyDescent="0.3">
      <c r="A397">
        <v>396</v>
      </c>
      <c r="B397" s="14" t="s">
        <v>2617</v>
      </c>
      <c r="C397" s="14" t="s">
        <v>2213</v>
      </c>
      <c r="D397" s="14" t="s">
        <v>3490</v>
      </c>
      <c r="E397" s="14" t="s">
        <v>1118</v>
      </c>
      <c r="F397" s="14" t="s">
        <v>1386</v>
      </c>
      <c r="G397" s="14" t="s">
        <v>1859</v>
      </c>
      <c r="H397" s="14" t="s">
        <v>2088</v>
      </c>
      <c r="I397" t="s">
        <v>908</v>
      </c>
      <c r="J397" s="14" t="s">
        <v>36</v>
      </c>
      <c r="K397" s="15">
        <v>45383</v>
      </c>
      <c r="L397" s="14" t="s">
        <v>2847</v>
      </c>
      <c r="M397" t="s">
        <v>3523</v>
      </c>
      <c r="N397" s="15"/>
      <c r="O397" s="14"/>
      <c r="P397">
        <v>68</v>
      </c>
    </row>
    <row r="398" spans="1:16" x14ac:dyDescent="0.3">
      <c r="A398">
        <v>397</v>
      </c>
      <c r="B398" s="14" t="s">
        <v>2618</v>
      </c>
      <c r="C398" s="14" t="s">
        <v>390</v>
      </c>
      <c r="D398" s="14" t="s">
        <v>3490</v>
      </c>
      <c r="E398" s="14" t="s">
        <v>1113</v>
      </c>
      <c r="F398" s="14" t="s">
        <v>1387</v>
      </c>
      <c r="G398" s="14" t="s">
        <v>1819</v>
      </c>
      <c r="H398" s="14" t="s">
        <v>2088</v>
      </c>
      <c r="I398" t="s">
        <v>909</v>
      </c>
      <c r="J398" s="14" t="s">
        <v>72</v>
      </c>
      <c r="K398" s="15">
        <v>45383</v>
      </c>
      <c r="L398" s="14" t="s">
        <v>2847</v>
      </c>
      <c r="M398" t="s">
        <v>3523</v>
      </c>
      <c r="N398" s="15"/>
      <c r="O398" s="14"/>
      <c r="P398">
        <v>68</v>
      </c>
    </row>
    <row r="399" spans="1:16" x14ac:dyDescent="0.3">
      <c r="A399">
        <v>398</v>
      </c>
      <c r="B399" s="14" t="s">
        <v>2619</v>
      </c>
      <c r="C399" s="14" t="s">
        <v>2214</v>
      </c>
      <c r="D399" s="14" t="s">
        <v>3490</v>
      </c>
      <c r="E399" s="14" t="s">
        <v>1118</v>
      </c>
      <c r="F399" s="14" t="s">
        <v>1388</v>
      </c>
      <c r="G399" s="14" t="s">
        <v>1860</v>
      </c>
      <c r="H399" s="14" t="s">
        <v>2056</v>
      </c>
      <c r="I399" t="s">
        <v>910</v>
      </c>
      <c r="J399" s="14" t="s">
        <v>44</v>
      </c>
      <c r="K399" s="15">
        <v>45383</v>
      </c>
      <c r="L399" s="14" t="s">
        <v>2847</v>
      </c>
      <c r="M399" t="s">
        <v>3500</v>
      </c>
      <c r="N399" s="15">
        <v>45383</v>
      </c>
      <c r="O399" s="14" t="s">
        <v>3521</v>
      </c>
      <c r="P399">
        <v>0</v>
      </c>
    </row>
    <row r="400" spans="1:16" x14ac:dyDescent="0.3">
      <c r="A400">
        <v>399</v>
      </c>
      <c r="B400" s="14" t="s">
        <v>2620</v>
      </c>
      <c r="C400" s="14" t="s">
        <v>391</v>
      </c>
      <c r="D400" s="14" t="s">
        <v>3490</v>
      </c>
      <c r="E400" s="14" t="s">
        <v>1116</v>
      </c>
      <c r="F400" s="14" t="s">
        <v>55</v>
      </c>
      <c r="G400" s="14"/>
      <c r="H400" s="14"/>
      <c r="I400" t="s">
        <v>911</v>
      </c>
      <c r="J400" s="14" t="s">
        <v>55</v>
      </c>
      <c r="K400" s="15">
        <v>45383</v>
      </c>
      <c r="L400" s="14" t="s">
        <v>2848</v>
      </c>
      <c r="M400" t="s">
        <v>3523</v>
      </c>
      <c r="N400" s="15"/>
      <c r="O400" s="14"/>
      <c r="P400">
        <v>68</v>
      </c>
    </row>
    <row r="401" spans="1:16" x14ac:dyDescent="0.3">
      <c r="A401">
        <v>400</v>
      </c>
      <c r="B401" s="14" t="s">
        <v>2621</v>
      </c>
      <c r="C401" s="14" t="s">
        <v>392</v>
      </c>
      <c r="D401" s="14" t="s">
        <v>3490</v>
      </c>
      <c r="E401" s="14" t="s">
        <v>1118</v>
      </c>
      <c r="F401" s="14" t="s">
        <v>1389</v>
      </c>
      <c r="G401" s="14" t="s">
        <v>1861</v>
      </c>
      <c r="H401" s="14" t="s">
        <v>2081</v>
      </c>
      <c r="I401" t="s">
        <v>912</v>
      </c>
      <c r="J401" s="14" t="s">
        <v>36</v>
      </c>
      <c r="K401" s="15">
        <v>45383</v>
      </c>
      <c r="L401" s="14" t="s">
        <v>2848</v>
      </c>
      <c r="M401" t="s">
        <v>3524</v>
      </c>
      <c r="N401" s="15"/>
      <c r="O401" s="14" t="s">
        <v>3521</v>
      </c>
    </row>
    <row r="402" spans="1:16" x14ac:dyDescent="0.3">
      <c r="A402">
        <v>401</v>
      </c>
      <c r="B402" s="14" t="s">
        <v>2622</v>
      </c>
      <c r="C402" s="14" t="s">
        <v>393</v>
      </c>
      <c r="D402" s="14" t="s">
        <v>3490</v>
      </c>
      <c r="E402" s="14" t="s">
        <v>1118</v>
      </c>
      <c r="F402" s="14" t="s">
        <v>1390</v>
      </c>
      <c r="G402" s="14" t="s">
        <v>1862</v>
      </c>
      <c r="H402" s="14" t="s">
        <v>2061</v>
      </c>
      <c r="J402" s="14" t="s">
        <v>36</v>
      </c>
      <c r="K402" s="15">
        <v>45383</v>
      </c>
      <c r="L402" s="14" t="s">
        <v>2848</v>
      </c>
      <c r="M402" t="s">
        <v>3500</v>
      </c>
      <c r="N402" s="15">
        <v>45386</v>
      </c>
      <c r="O402" s="14"/>
      <c r="P402">
        <v>68</v>
      </c>
    </row>
    <row r="403" spans="1:16" x14ac:dyDescent="0.3">
      <c r="A403">
        <v>402</v>
      </c>
      <c r="B403" s="14" t="s">
        <v>2623</v>
      </c>
      <c r="C403" s="14" t="s">
        <v>394</v>
      </c>
      <c r="D403" s="14" t="s">
        <v>3490</v>
      </c>
      <c r="E403" s="14" t="s">
        <v>1118</v>
      </c>
      <c r="F403" s="14" t="s">
        <v>1121</v>
      </c>
      <c r="G403" s="14" t="s">
        <v>1863</v>
      </c>
      <c r="H403" s="14"/>
      <c r="I403" t="s">
        <v>913</v>
      </c>
      <c r="J403" s="14" t="s">
        <v>20</v>
      </c>
      <c r="K403" s="15">
        <v>45384</v>
      </c>
      <c r="L403" s="14" t="s">
        <v>2847</v>
      </c>
      <c r="M403" t="s">
        <v>3523</v>
      </c>
      <c r="N403" s="15"/>
      <c r="O403" s="14"/>
      <c r="P403">
        <v>67</v>
      </c>
    </row>
    <row r="404" spans="1:16" x14ac:dyDescent="0.3">
      <c r="A404">
        <v>403</v>
      </c>
      <c r="B404" s="14" t="s">
        <v>2624</v>
      </c>
      <c r="C404" s="14" t="s">
        <v>2215</v>
      </c>
      <c r="D404" s="14" t="s">
        <v>3490</v>
      </c>
      <c r="E404" s="14" t="s">
        <v>1118</v>
      </c>
      <c r="F404" s="14" t="s">
        <v>1391</v>
      </c>
      <c r="G404" s="14" t="s">
        <v>1864</v>
      </c>
      <c r="H404" s="14"/>
      <c r="I404" t="s">
        <v>914</v>
      </c>
      <c r="J404" s="14" t="s">
        <v>36</v>
      </c>
      <c r="K404" s="15">
        <v>45384</v>
      </c>
      <c r="L404" s="14" t="s">
        <v>2847</v>
      </c>
      <c r="M404" t="s">
        <v>3500</v>
      </c>
      <c r="N404" s="15">
        <v>45386</v>
      </c>
      <c r="O404" s="14"/>
      <c r="P404">
        <v>67</v>
      </c>
    </row>
    <row r="405" spans="1:16" x14ac:dyDescent="0.3">
      <c r="A405">
        <v>404</v>
      </c>
      <c r="B405" s="14" t="s">
        <v>2625</v>
      </c>
      <c r="C405" s="14" t="s">
        <v>395</v>
      </c>
      <c r="D405" s="14" t="s">
        <v>3490</v>
      </c>
      <c r="E405" s="14" t="s">
        <v>1118</v>
      </c>
      <c r="F405" s="14" t="s">
        <v>1213</v>
      </c>
      <c r="G405" s="14" t="s">
        <v>1865</v>
      </c>
      <c r="H405" s="14" t="s">
        <v>2066</v>
      </c>
      <c r="I405" t="s">
        <v>915</v>
      </c>
      <c r="J405" s="14" t="s">
        <v>35</v>
      </c>
      <c r="K405" s="15">
        <v>45384</v>
      </c>
      <c r="L405" s="14" t="s">
        <v>3539</v>
      </c>
      <c r="M405" t="s">
        <v>3523</v>
      </c>
      <c r="N405" s="15"/>
      <c r="O405" s="14"/>
      <c r="P405">
        <v>67</v>
      </c>
    </row>
    <row r="406" spans="1:16" x14ac:dyDescent="0.3">
      <c r="A406">
        <v>405</v>
      </c>
      <c r="B406" s="14" t="s">
        <v>2626</v>
      </c>
      <c r="C406" s="14" t="s">
        <v>396</v>
      </c>
      <c r="D406" s="14" t="s">
        <v>3490</v>
      </c>
      <c r="E406" s="14" t="s">
        <v>1114</v>
      </c>
      <c r="F406" s="14" t="s">
        <v>55</v>
      </c>
      <c r="G406" s="14" t="s">
        <v>1866</v>
      </c>
      <c r="H406" s="14" t="s">
        <v>704</v>
      </c>
      <c r="I406" t="s">
        <v>916</v>
      </c>
      <c r="J406" s="14" t="s">
        <v>55</v>
      </c>
      <c r="K406" s="15">
        <v>45384</v>
      </c>
      <c r="L406" s="14" t="s">
        <v>2848</v>
      </c>
      <c r="M406" t="s">
        <v>3523</v>
      </c>
      <c r="N406" s="15"/>
      <c r="O406" s="14"/>
      <c r="P406">
        <v>67</v>
      </c>
    </row>
    <row r="407" spans="1:16" x14ac:dyDescent="0.3">
      <c r="A407">
        <v>406</v>
      </c>
      <c r="B407" s="14" t="s">
        <v>2627</v>
      </c>
      <c r="C407" s="14" t="s">
        <v>397</v>
      </c>
      <c r="D407" s="14" t="s">
        <v>3490</v>
      </c>
      <c r="E407" s="14" t="s">
        <v>1118</v>
      </c>
      <c r="F407" s="14" t="s">
        <v>1392</v>
      </c>
      <c r="G407" s="14" t="s">
        <v>1867</v>
      </c>
      <c r="H407" s="14" t="s">
        <v>704</v>
      </c>
      <c r="I407" t="s">
        <v>917</v>
      </c>
      <c r="J407" s="14" t="s">
        <v>57</v>
      </c>
      <c r="K407" s="15">
        <v>45384</v>
      </c>
      <c r="L407" s="14" t="s">
        <v>2848</v>
      </c>
      <c r="M407" t="s">
        <v>3524</v>
      </c>
      <c r="N407" s="15"/>
      <c r="O407" s="14" t="s">
        <v>3521</v>
      </c>
    </row>
    <row r="408" spans="1:16" x14ac:dyDescent="0.3">
      <c r="A408">
        <v>407</v>
      </c>
      <c r="B408" s="14" t="s">
        <v>2628</v>
      </c>
      <c r="C408" s="14" t="s">
        <v>398</v>
      </c>
      <c r="D408" s="14" t="s">
        <v>3490</v>
      </c>
      <c r="E408" s="14" t="s">
        <v>1114</v>
      </c>
      <c r="F408" s="14" t="s">
        <v>1351</v>
      </c>
      <c r="G408" s="14" t="s">
        <v>704</v>
      </c>
      <c r="H408" s="14" t="s">
        <v>704</v>
      </c>
      <c r="I408" t="s">
        <v>918</v>
      </c>
      <c r="J408" s="14" t="s">
        <v>55</v>
      </c>
      <c r="K408" s="15">
        <v>45385</v>
      </c>
      <c r="L408" s="14" t="s">
        <v>2848</v>
      </c>
      <c r="M408" t="s">
        <v>3500</v>
      </c>
      <c r="N408" s="15">
        <v>45386</v>
      </c>
      <c r="O408" s="14" t="s">
        <v>3521</v>
      </c>
      <c r="P408">
        <v>1</v>
      </c>
    </row>
    <row r="409" spans="1:16" x14ac:dyDescent="0.3">
      <c r="A409">
        <v>408</v>
      </c>
      <c r="B409" s="14" t="s">
        <v>2629</v>
      </c>
      <c r="C409" s="14" t="s">
        <v>399</v>
      </c>
      <c r="D409" s="14" t="s">
        <v>3490</v>
      </c>
      <c r="E409" s="14" t="s">
        <v>1116</v>
      </c>
      <c r="F409" s="14" t="s">
        <v>55</v>
      </c>
      <c r="G409" s="14"/>
      <c r="H409" s="14" t="s">
        <v>704</v>
      </c>
      <c r="I409" t="s">
        <v>919</v>
      </c>
      <c r="J409" s="14" t="s">
        <v>55</v>
      </c>
      <c r="K409" s="15">
        <v>45385</v>
      </c>
      <c r="L409" s="14" t="s">
        <v>2848</v>
      </c>
      <c r="M409" t="s">
        <v>3523</v>
      </c>
      <c r="N409" s="15"/>
      <c r="O409" s="14"/>
      <c r="P409">
        <v>66</v>
      </c>
    </row>
    <row r="410" spans="1:16" x14ac:dyDescent="0.3">
      <c r="A410">
        <v>409</v>
      </c>
      <c r="B410" s="14" t="s">
        <v>2630</v>
      </c>
      <c r="C410" s="14" t="s">
        <v>400</v>
      </c>
      <c r="D410" s="14" t="s">
        <v>3489</v>
      </c>
      <c r="E410" s="14" t="s">
        <v>1114</v>
      </c>
      <c r="F410" s="14" t="s">
        <v>1393</v>
      </c>
      <c r="G410" s="14" t="s">
        <v>1868</v>
      </c>
      <c r="H410" s="14" t="s">
        <v>704</v>
      </c>
      <c r="I410" t="s">
        <v>920</v>
      </c>
      <c r="J410" s="14" t="s">
        <v>36</v>
      </c>
      <c r="K410" s="15">
        <v>45386</v>
      </c>
      <c r="L410" s="14" t="s">
        <v>2847</v>
      </c>
      <c r="M410" t="s">
        <v>3523</v>
      </c>
      <c r="N410" s="15"/>
      <c r="O410" s="14"/>
      <c r="P410">
        <v>65</v>
      </c>
    </row>
    <row r="411" spans="1:16" x14ac:dyDescent="0.3">
      <c r="A411">
        <v>410</v>
      </c>
      <c r="B411" s="14" t="s">
        <v>2631</v>
      </c>
      <c r="C411" s="14" t="s">
        <v>401</v>
      </c>
      <c r="D411" s="14" t="s">
        <v>3490</v>
      </c>
      <c r="E411" s="14" t="s">
        <v>1118</v>
      </c>
      <c r="F411" s="14" t="s">
        <v>1394</v>
      </c>
      <c r="G411" s="14" t="s">
        <v>1763</v>
      </c>
      <c r="H411" s="14" t="s">
        <v>704</v>
      </c>
      <c r="I411" t="s">
        <v>921</v>
      </c>
      <c r="J411" s="14" t="s">
        <v>44</v>
      </c>
      <c r="K411" s="15">
        <v>45386</v>
      </c>
      <c r="L411" s="14" t="s">
        <v>2847</v>
      </c>
      <c r="M411" t="s">
        <v>3524</v>
      </c>
      <c r="N411" s="15"/>
      <c r="O411" s="14" t="s">
        <v>3521</v>
      </c>
    </row>
    <row r="412" spans="1:16" x14ac:dyDescent="0.3">
      <c r="A412">
        <v>411</v>
      </c>
      <c r="B412" s="14" t="s">
        <v>2632</v>
      </c>
      <c r="C412" s="14" t="s">
        <v>402</v>
      </c>
      <c r="D412" s="14" t="s">
        <v>3490</v>
      </c>
      <c r="E412" s="14" t="s">
        <v>1118</v>
      </c>
      <c r="F412" s="14" t="s">
        <v>1395</v>
      </c>
      <c r="G412" s="14" t="s">
        <v>1869</v>
      </c>
      <c r="H412" s="14" t="s">
        <v>2082</v>
      </c>
      <c r="I412" t="s">
        <v>922</v>
      </c>
      <c r="J412" s="14" t="s">
        <v>20</v>
      </c>
      <c r="K412" s="15">
        <v>45386</v>
      </c>
      <c r="L412" s="14" t="s">
        <v>3539</v>
      </c>
      <c r="M412" t="s">
        <v>3523</v>
      </c>
      <c r="N412" s="15"/>
      <c r="O412" s="14"/>
      <c r="P412">
        <v>65</v>
      </c>
    </row>
    <row r="413" spans="1:16" x14ac:dyDescent="0.3">
      <c r="A413">
        <v>412</v>
      </c>
      <c r="B413" s="14" t="s">
        <v>2633</v>
      </c>
      <c r="C413" s="14" t="s">
        <v>403</v>
      </c>
      <c r="D413" s="14" t="s">
        <v>3490</v>
      </c>
      <c r="E413" s="14" t="s">
        <v>1118</v>
      </c>
      <c r="F413" s="14" t="s">
        <v>1270</v>
      </c>
      <c r="G413" s="14" t="s">
        <v>1763</v>
      </c>
      <c r="H413" s="14" t="s">
        <v>704</v>
      </c>
      <c r="I413" t="s">
        <v>923</v>
      </c>
      <c r="J413" s="14" t="s">
        <v>44</v>
      </c>
      <c r="K413" s="15">
        <v>45386</v>
      </c>
      <c r="L413" s="14" t="s">
        <v>2847</v>
      </c>
      <c r="M413" t="s">
        <v>3524</v>
      </c>
      <c r="N413" s="15"/>
      <c r="O413" s="14" t="s">
        <v>3521</v>
      </c>
    </row>
    <row r="414" spans="1:16" x14ac:dyDescent="0.3">
      <c r="A414">
        <v>413</v>
      </c>
      <c r="B414" s="14" t="s">
        <v>2634</v>
      </c>
      <c r="C414" s="14" t="s">
        <v>404</v>
      </c>
      <c r="D414" s="14" t="s">
        <v>3489</v>
      </c>
      <c r="E414" s="14" t="s">
        <v>1118</v>
      </c>
      <c r="F414" s="14" t="s">
        <v>1396</v>
      </c>
      <c r="G414" s="14" t="s">
        <v>1870</v>
      </c>
      <c r="H414" s="14" t="s">
        <v>2059</v>
      </c>
      <c r="I414" t="s">
        <v>924</v>
      </c>
      <c r="J414" s="14" t="s">
        <v>35</v>
      </c>
      <c r="K414" s="15">
        <v>45387</v>
      </c>
      <c r="L414" s="14" t="s">
        <v>2847</v>
      </c>
      <c r="M414" t="s">
        <v>3524</v>
      </c>
      <c r="N414" s="15"/>
      <c r="O414" s="14" t="s">
        <v>3521</v>
      </c>
    </row>
    <row r="415" spans="1:16" x14ac:dyDescent="0.3">
      <c r="A415">
        <v>414</v>
      </c>
      <c r="B415" s="14" t="s">
        <v>2635</v>
      </c>
      <c r="C415" s="14" t="s">
        <v>405</v>
      </c>
      <c r="D415" s="14" t="s">
        <v>3490</v>
      </c>
      <c r="E415" s="14" t="s">
        <v>1118</v>
      </c>
      <c r="F415" s="14" t="s">
        <v>69</v>
      </c>
      <c r="G415" s="14" t="s">
        <v>1871</v>
      </c>
      <c r="H415" s="14" t="s">
        <v>704</v>
      </c>
      <c r="I415" t="s">
        <v>925</v>
      </c>
      <c r="J415" s="14" t="s">
        <v>57</v>
      </c>
      <c r="K415" s="15">
        <v>45387</v>
      </c>
      <c r="L415" s="14" t="s">
        <v>3539</v>
      </c>
      <c r="M415" t="s">
        <v>3524</v>
      </c>
      <c r="N415" s="15"/>
      <c r="O415" s="14" t="s">
        <v>3521</v>
      </c>
    </row>
    <row r="416" spans="1:16" x14ac:dyDescent="0.3">
      <c r="A416">
        <v>415</v>
      </c>
      <c r="B416" s="14" t="s">
        <v>2636</v>
      </c>
      <c r="C416" s="14" t="s">
        <v>406</v>
      </c>
      <c r="D416" s="14" t="s">
        <v>3489</v>
      </c>
      <c r="E416" s="14" t="s">
        <v>1118</v>
      </c>
      <c r="F416" s="14" t="s">
        <v>1397</v>
      </c>
      <c r="G416" s="14" t="s">
        <v>1872</v>
      </c>
      <c r="H416" s="14" t="s">
        <v>2075</v>
      </c>
      <c r="I416" t="s">
        <v>926</v>
      </c>
      <c r="J416" s="14" t="s">
        <v>36</v>
      </c>
      <c r="K416" s="15">
        <v>45387</v>
      </c>
      <c r="L416" s="14" t="s">
        <v>2847</v>
      </c>
      <c r="M416" t="s">
        <v>3523</v>
      </c>
      <c r="N416" s="15"/>
      <c r="O416" s="14"/>
      <c r="P416">
        <v>64</v>
      </c>
    </row>
    <row r="417" spans="1:16" x14ac:dyDescent="0.3">
      <c r="A417">
        <v>416</v>
      </c>
      <c r="B417" s="14" t="s">
        <v>2637</v>
      </c>
      <c r="C417" s="14" t="s">
        <v>407</v>
      </c>
      <c r="D417" s="14" t="s">
        <v>3490</v>
      </c>
      <c r="E417" s="14" t="s">
        <v>1113</v>
      </c>
      <c r="F417" s="14" t="s">
        <v>1398</v>
      </c>
      <c r="G417" s="14" t="s">
        <v>1873</v>
      </c>
      <c r="H417" s="14" t="s">
        <v>2083</v>
      </c>
      <c r="I417" t="s">
        <v>927</v>
      </c>
      <c r="J417" s="14" t="s">
        <v>36</v>
      </c>
      <c r="K417" s="15">
        <v>45387</v>
      </c>
      <c r="L417" s="14" t="s">
        <v>2847</v>
      </c>
      <c r="M417" t="s">
        <v>3523</v>
      </c>
      <c r="N417" s="15"/>
      <c r="O417" s="14"/>
      <c r="P417">
        <v>64</v>
      </c>
    </row>
    <row r="418" spans="1:16" x14ac:dyDescent="0.3">
      <c r="A418">
        <v>417</v>
      </c>
      <c r="B418" s="14" t="s">
        <v>2638</v>
      </c>
      <c r="C418" s="14" t="s">
        <v>2216</v>
      </c>
      <c r="D418" s="14" t="s">
        <v>3490</v>
      </c>
      <c r="E418" s="14" t="s">
        <v>1118</v>
      </c>
      <c r="F418" s="14" t="s">
        <v>1399</v>
      </c>
      <c r="G418" s="14" t="s">
        <v>1874</v>
      </c>
      <c r="H418" s="14" t="s">
        <v>704</v>
      </c>
      <c r="I418" t="s">
        <v>928</v>
      </c>
      <c r="J418" s="14" t="s">
        <v>35</v>
      </c>
      <c r="K418" s="15">
        <v>45387</v>
      </c>
      <c r="L418" s="14" t="s">
        <v>2847</v>
      </c>
      <c r="M418" t="s">
        <v>3524</v>
      </c>
      <c r="N418" s="15"/>
      <c r="O418" s="14" t="s">
        <v>3521</v>
      </c>
    </row>
    <row r="419" spans="1:16" x14ac:dyDescent="0.3">
      <c r="A419">
        <v>418</v>
      </c>
      <c r="B419" s="14" t="s">
        <v>2639</v>
      </c>
      <c r="C419" s="14" t="s">
        <v>408</v>
      </c>
      <c r="D419" s="14" t="s">
        <v>3490</v>
      </c>
      <c r="E419" s="14" t="s">
        <v>1118</v>
      </c>
      <c r="F419" s="14" t="s">
        <v>1400</v>
      </c>
      <c r="G419" s="14" t="s">
        <v>1875</v>
      </c>
      <c r="H419" s="14" t="s">
        <v>2067</v>
      </c>
      <c r="I419" t="s">
        <v>929</v>
      </c>
      <c r="J419" s="14" t="s">
        <v>44</v>
      </c>
      <c r="K419" s="15">
        <v>45387</v>
      </c>
      <c r="L419" s="14" t="s">
        <v>2847</v>
      </c>
      <c r="M419" t="s">
        <v>3524</v>
      </c>
      <c r="N419" s="15"/>
      <c r="O419" s="14" t="s">
        <v>3521</v>
      </c>
    </row>
    <row r="420" spans="1:16" x14ac:dyDescent="0.3">
      <c r="A420">
        <v>419</v>
      </c>
      <c r="B420" s="14" t="s">
        <v>2640</v>
      </c>
      <c r="C420" s="14" t="s">
        <v>409</v>
      </c>
      <c r="D420" s="14" t="s">
        <v>3490</v>
      </c>
      <c r="E420" s="14" t="s">
        <v>1113</v>
      </c>
      <c r="F420" s="14" t="s">
        <v>1401</v>
      </c>
      <c r="G420" s="14" t="s">
        <v>1876</v>
      </c>
      <c r="H420" s="14" t="s">
        <v>704</v>
      </c>
      <c r="I420" t="s">
        <v>930</v>
      </c>
      <c r="J420" s="14" t="s">
        <v>33</v>
      </c>
      <c r="K420" s="15">
        <v>45387</v>
      </c>
      <c r="L420" s="14" t="s">
        <v>2847</v>
      </c>
      <c r="M420" t="s">
        <v>3524</v>
      </c>
      <c r="N420" s="15"/>
      <c r="O420" s="14" t="s">
        <v>3521</v>
      </c>
    </row>
    <row r="421" spans="1:16" x14ac:dyDescent="0.3">
      <c r="A421">
        <v>420</v>
      </c>
      <c r="B421" s="14" t="s">
        <v>2641</v>
      </c>
      <c r="C421" s="14" t="s">
        <v>410</v>
      </c>
      <c r="D421" s="14" t="s">
        <v>3490</v>
      </c>
      <c r="E421" s="14" t="s">
        <v>1118</v>
      </c>
      <c r="F421" s="14" t="s">
        <v>1154</v>
      </c>
      <c r="G421" s="14" t="s">
        <v>1877</v>
      </c>
      <c r="H421" s="14" t="s">
        <v>704</v>
      </c>
      <c r="I421" t="s">
        <v>931</v>
      </c>
      <c r="J421" s="14" t="s">
        <v>36</v>
      </c>
      <c r="K421" s="15">
        <v>45387</v>
      </c>
      <c r="L421" s="14" t="s">
        <v>2847</v>
      </c>
      <c r="M421" t="s">
        <v>3524</v>
      </c>
      <c r="N421" s="15"/>
      <c r="O421" s="14" t="s">
        <v>3521</v>
      </c>
    </row>
    <row r="422" spans="1:16" x14ac:dyDescent="0.3">
      <c r="A422">
        <v>421</v>
      </c>
      <c r="B422" s="14" t="s">
        <v>2642</v>
      </c>
      <c r="C422" s="14" t="s">
        <v>411</v>
      </c>
      <c r="D422" s="14" t="s">
        <v>3490</v>
      </c>
      <c r="E422" s="14" t="s">
        <v>1118</v>
      </c>
      <c r="F422" s="14" t="s">
        <v>1402</v>
      </c>
      <c r="G422" s="14" t="s">
        <v>1878</v>
      </c>
      <c r="H422" s="14" t="s">
        <v>704</v>
      </c>
      <c r="I422" t="s">
        <v>932</v>
      </c>
      <c r="J422" s="14" t="s">
        <v>36</v>
      </c>
      <c r="K422" s="15">
        <v>45387</v>
      </c>
      <c r="L422" s="14" t="s">
        <v>2847</v>
      </c>
      <c r="M422" t="s">
        <v>3523</v>
      </c>
      <c r="N422" s="15"/>
      <c r="O422" s="14"/>
      <c r="P422">
        <v>64</v>
      </c>
    </row>
    <row r="423" spans="1:16" x14ac:dyDescent="0.3">
      <c r="A423">
        <v>422</v>
      </c>
      <c r="B423" s="14" t="s">
        <v>2643</v>
      </c>
      <c r="C423" s="14" t="s">
        <v>344</v>
      </c>
      <c r="D423" s="14" t="s">
        <v>3489</v>
      </c>
      <c r="E423" s="14" t="s">
        <v>1118</v>
      </c>
      <c r="F423" s="14" t="s">
        <v>1137</v>
      </c>
      <c r="G423" s="14" t="s">
        <v>1879</v>
      </c>
      <c r="H423" s="14" t="s">
        <v>704</v>
      </c>
      <c r="I423" t="s">
        <v>848</v>
      </c>
      <c r="J423" s="14" t="s">
        <v>36</v>
      </c>
      <c r="K423" s="15">
        <v>45392</v>
      </c>
      <c r="L423" s="14" t="s">
        <v>2845</v>
      </c>
      <c r="M423" t="s">
        <v>3500</v>
      </c>
      <c r="N423" s="15">
        <v>45401</v>
      </c>
      <c r="O423" s="14"/>
      <c r="P423">
        <v>59</v>
      </c>
    </row>
    <row r="424" spans="1:16" x14ac:dyDescent="0.3">
      <c r="A424">
        <v>423</v>
      </c>
      <c r="B424" s="14" t="s">
        <v>2644</v>
      </c>
      <c r="C424" s="14" t="s">
        <v>412</v>
      </c>
      <c r="D424" s="14" t="s">
        <v>3490</v>
      </c>
      <c r="E424" s="14" t="s">
        <v>1118</v>
      </c>
      <c r="F424" s="14" t="s">
        <v>1403</v>
      </c>
      <c r="G424" s="14" t="s">
        <v>1880</v>
      </c>
      <c r="H424" s="14" t="s">
        <v>704</v>
      </c>
      <c r="I424" t="s">
        <v>933</v>
      </c>
      <c r="J424" s="14" t="s">
        <v>36</v>
      </c>
      <c r="K424" s="15">
        <v>45393</v>
      </c>
      <c r="L424" s="14" t="s">
        <v>2847</v>
      </c>
      <c r="M424" t="s">
        <v>3500</v>
      </c>
      <c r="N424" s="15">
        <v>45405</v>
      </c>
      <c r="O424" s="14"/>
      <c r="P424">
        <v>58</v>
      </c>
    </row>
    <row r="425" spans="1:16" x14ac:dyDescent="0.3">
      <c r="A425">
        <v>424</v>
      </c>
      <c r="B425" s="14" t="s">
        <v>2645</v>
      </c>
      <c r="C425" s="14" t="s">
        <v>413</v>
      </c>
      <c r="D425" s="14" t="s">
        <v>3490</v>
      </c>
      <c r="E425" s="14" t="s">
        <v>1118</v>
      </c>
      <c r="F425" s="14" t="s">
        <v>65</v>
      </c>
      <c r="G425" s="14" t="s">
        <v>1881</v>
      </c>
      <c r="H425" s="14" t="s">
        <v>2088</v>
      </c>
      <c r="I425" t="s">
        <v>934</v>
      </c>
      <c r="J425" s="14" t="s">
        <v>72</v>
      </c>
      <c r="K425" s="15">
        <v>45388</v>
      </c>
      <c r="L425" s="14" t="s">
        <v>2847</v>
      </c>
      <c r="M425" t="s">
        <v>3523</v>
      </c>
      <c r="N425" s="15"/>
      <c r="O425" s="14"/>
      <c r="P425">
        <v>63</v>
      </c>
    </row>
    <row r="426" spans="1:16" x14ac:dyDescent="0.3">
      <c r="A426">
        <v>425</v>
      </c>
      <c r="B426" s="14" t="s">
        <v>2646</v>
      </c>
      <c r="C426" s="14" t="s">
        <v>414</v>
      </c>
      <c r="D426" s="14" t="s">
        <v>3490</v>
      </c>
      <c r="E426" s="14" t="s">
        <v>1118</v>
      </c>
      <c r="F426" s="14" t="s">
        <v>65</v>
      </c>
      <c r="G426" s="14" t="s">
        <v>1882</v>
      </c>
      <c r="H426" s="14" t="s">
        <v>704</v>
      </c>
      <c r="I426" t="s">
        <v>935</v>
      </c>
      <c r="J426" s="14" t="s">
        <v>35</v>
      </c>
      <c r="K426" s="15">
        <v>45388</v>
      </c>
      <c r="L426" s="14" t="s">
        <v>2847</v>
      </c>
      <c r="M426" t="s">
        <v>3523</v>
      </c>
      <c r="N426" s="15"/>
      <c r="O426" s="14"/>
      <c r="P426">
        <v>63</v>
      </c>
    </row>
    <row r="427" spans="1:16" x14ac:dyDescent="0.3">
      <c r="A427">
        <v>426</v>
      </c>
      <c r="B427" s="14" t="s">
        <v>2647</v>
      </c>
      <c r="C427" s="14" t="s">
        <v>415</v>
      </c>
      <c r="D427" s="14" t="s">
        <v>3490</v>
      </c>
      <c r="E427" s="14" t="s">
        <v>1115</v>
      </c>
      <c r="F427" s="14" t="s">
        <v>1259</v>
      </c>
      <c r="G427" s="14" t="s">
        <v>1883</v>
      </c>
      <c r="H427" s="14" t="s">
        <v>31</v>
      </c>
      <c r="J427" s="14" t="s">
        <v>36</v>
      </c>
      <c r="K427" s="15">
        <v>45391</v>
      </c>
      <c r="L427" s="14" t="s">
        <v>2847</v>
      </c>
      <c r="M427" t="s">
        <v>3501</v>
      </c>
      <c r="N427" s="15">
        <v>45412</v>
      </c>
      <c r="O427" s="14" t="s">
        <v>2852</v>
      </c>
      <c r="P427">
        <v>21</v>
      </c>
    </row>
    <row r="428" spans="1:16" x14ac:dyDescent="0.3">
      <c r="A428">
        <v>427</v>
      </c>
      <c r="B428" s="14" t="s">
        <v>2648</v>
      </c>
      <c r="C428" s="14" t="s">
        <v>416</v>
      </c>
      <c r="D428" s="14" t="s">
        <v>3490</v>
      </c>
      <c r="E428" s="14" t="s">
        <v>1113</v>
      </c>
      <c r="F428" s="14" t="s">
        <v>1404</v>
      </c>
      <c r="G428" s="14" t="s">
        <v>1884</v>
      </c>
      <c r="H428" s="14" t="s">
        <v>704</v>
      </c>
      <c r="I428" t="s">
        <v>936</v>
      </c>
      <c r="J428" s="14" t="s">
        <v>44</v>
      </c>
      <c r="K428" s="15">
        <v>45392</v>
      </c>
      <c r="L428" s="14" t="s">
        <v>2847</v>
      </c>
      <c r="M428" t="s">
        <v>3524</v>
      </c>
      <c r="N428" s="15"/>
      <c r="O428" s="14" t="s">
        <v>3521</v>
      </c>
    </row>
    <row r="429" spans="1:16" x14ac:dyDescent="0.3">
      <c r="A429">
        <v>428</v>
      </c>
      <c r="B429" s="14" t="s">
        <v>2649</v>
      </c>
      <c r="C429" s="14" t="s">
        <v>417</v>
      </c>
      <c r="D429" s="14" t="s">
        <v>3490</v>
      </c>
      <c r="E429" s="14" t="s">
        <v>1118</v>
      </c>
      <c r="F429" s="14" t="s">
        <v>1405</v>
      </c>
      <c r="G429" s="14" t="s">
        <v>1885</v>
      </c>
      <c r="H429" s="14" t="s">
        <v>704</v>
      </c>
      <c r="I429" t="s">
        <v>676</v>
      </c>
      <c r="J429" s="14" t="s">
        <v>44</v>
      </c>
      <c r="K429" s="15">
        <v>45393</v>
      </c>
      <c r="L429" s="14" t="s">
        <v>2847</v>
      </c>
      <c r="M429" t="s">
        <v>3523</v>
      </c>
      <c r="N429" s="15"/>
      <c r="O429" s="14"/>
      <c r="P429">
        <v>58</v>
      </c>
    </row>
    <row r="430" spans="1:16" x14ac:dyDescent="0.3">
      <c r="A430">
        <v>429</v>
      </c>
      <c r="B430" s="14" t="s">
        <v>2650</v>
      </c>
      <c r="C430" s="14" t="s">
        <v>418</v>
      </c>
      <c r="D430" s="14" t="s">
        <v>3490</v>
      </c>
      <c r="E430" s="14" t="s">
        <v>1118</v>
      </c>
      <c r="F430" s="14" t="s">
        <v>1406</v>
      </c>
      <c r="G430" s="14" t="s">
        <v>1886</v>
      </c>
      <c r="H430" s="14" t="s">
        <v>2075</v>
      </c>
      <c r="I430" t="s">
        <v>937</v>
      </c>
      <c r="J430" s="14" t="s">
        <v>36</v>
      </c>
      <c r="K430" s="15">
        <v>45393</v>
      </c>
      <c r="L430" s="14" t="s">
        <v>2847</v>
      </c>
      <c r="M430" t="s">
        <v>3500</v>
      </c>
      <c r="N430" s="15">
        <v>45401</v>
      </c>
      <c r="O430" s="14"/>
      <c r="P430">
        <v>58</v>
      </c>
    </row>
    <row r="431" spans="1:16" x14ac:dyDescent="0.3">
      <c r="A431">
        <v>430</v>
      </c>
      <c r="B431" s="14" t="s">
        <v>2651</v>
      </c>
      <c r="C431" s="14" t="s">
        <v>419</v>
      </c>
      <c r="D431" s="14" t="s">
        <v>3490</v>
      </c>
      <c r="E431" s="14" t="s">
        <v>1118</v>
      </c>
      <c r="F431" s="14" t="s">
        <v>1407</v>
      </c>
      <c r="G431" s="14" t="s">
        <v>1887</v>
      </c>
      <c r="H431" s="14" t="s">
        <v>704</v>
      </c>
      <c r="I431" t="s">
        <v>938</v>
      </c>
      <c r="J431" s="14" t="s">
        <v>35</v>
      </c>
      <c r="K431" s="15">
        <v>45393</v>
      </c>
      <c r="L431" s="14" t="s">
        <v>2847</v>
      </c>
      <c r="M431" t="s">
        <v>3524</v>
      </c>
      <c r="N431" s="15"/>
      <c r="O431" s="14" t="s">
        <v>3521</v>
      </c>
    </row>
    <row r="432" spans="1:16" x14ac:dyDescent="0.3">
      <c r="A432">
        <v>431</v>
      </c>
      <c r="B432" s="14" t="s">
        <v>2652</v>
      </c>
      <c r="C432" s="14" t="s">
        <v>420</v>
      </c>
      <c r="D432" s="14" t="s">
        <v>3489</v>
      </c>
      <c r="E432" s="14" t="s">
        <v>1118</v>
      </c>
      <c r="F432" s="14" t="s">
        <v>33</v>
      </c>
      <c r="G432" s="14" t="s">
        <v>1888</v>
      </c>
      <c r="H432" s="14" t="s">
        <v>704</v>
      </c>
      <c r="I432" t="s">
        <v>939</v>
      </c>
      <c r="J432" s="14" t="s">
        <v>33</v>
      </c>
      <c r="K432" s="15">
        <v>45394</v>
      </c>
      <c r="L432" s="14" t="s">
        <v>2847</v>
      </c>
      <c r="M432" t="s">
        <v>3524</v>
      </c>
      <c r="N432" s="15"/>
      <c r="O432" s="14" t="s">
        <v>3521</v>
      </c>
    </row>
    <row r="433" spans="1:16" x14ac:dyDescent="0.3">
      <c r="A433">
        <v>432</v>
      </c>
      <c r="B433" s="14" t="s">
        <v>2653</v>
      </c>
      <c r="C433" s="14" t="s">
        <v>421</v>
      </c>
      <c r="D433" s="14" t="s">
        <v>3490</v>
      </c>
      <c r="E433" s="14" t="s">
        <v>1113</v>
      </c>
      <c r="F433" s="14" t="s">
        <v>1408</v>
      </c>
      <c r="G433" s="14" t="s">
        <v>1889</v>
      </c>
      <c r="H433" s="14" t="s">
        <v>704</v>
      </c>
      <c r="I433" t="s">
        <v>940</v>
      </c>
      <c r="J433" s="14" t="s">
        <v>33</v>
      </c>
      <c r="K433" s="15">
        <v>45396</v>
      </c>
      <c r="L433" s="14" t="s">
        <v>2847</v>
      </c>
      <c r="M433" t="s">
        <v>3524</v>
      </c>
      <c r="N433" s="15"/>
      <c r="O433" s="14" t="s">
        <v>3521</v>
      </c>
    </row>
    <row r="434" spans="1:16" x14ac:dyDescent="0.3">
      <c r="A434">
        <v>433</v>
      </c>
      <c r="B434" s="14" t="s">
        <v>2654</v>
      </c>
      <c r="C434" s="14" t="s">
        <v>422</v>
      </c>
      <c r="D434" s="14" t="s">
        <v>3490</v>
      </c>
      <c r="E434" s="14" t="s">
        <v>1115</v>
      </c>
      <c r="F434" s="14"/>
      <c r="G434" s="14"/>
      <c r="H434" s="14"/>
      <c r="J434" s="14" t="s">
        <v>36</v>
      </c>
      <c r="K434" s="15">
        <v>45396</v>
      </c>
      <c r="L434" s="14" t="s">
        <v>2847</v>
      </c>
      <c r="M434" t="s">
        <v>3524</v>
      </c>
      <c r="N434" s="15"/>
      <c r="O434" s="14" t="s">
        <v>3521</v>
      </c>
    </row>
    <row r="435" spans="1:16" x14ac:dyDescent="0.3">
      <c r="A435">
        <v>434</v>
      </c>
      <c r="B435" s="14" t="s">
        <v>2655</v>
      </c>
      <c r="C435" s="14" t="s">
        <v>423</v>
      </c>
      <c r="D435" s="14" t="s">
        <v>3490</v>
      </c>
      <c r="E435" s="14" t="s">
        <v>1118</v>
      </c>
      <c r="F435" s="14" t="s">
        <v>1409</v>
      </c>
      <c r="G435" s="14" t="s">
        <v>1890</v>
      </c>
      <c r="H435" s="14" t="s">
        <v>704</v>
      </c>
      <c r="I435" t="s">
        <v>941</v>
      </c>
      <c r="J435" s="14" t="s">
        <v>36</v>
      </c>
      <c r="K435" s="15">
        <v>45398</v>
      </c>
      <c r="L435" s="14" t="s">
        <v>2847</v>
      </c>
      <c r="M435" t="s">
        <v>3524</v>
      </c>
      <c r="N435" s="15"/>
      <c r="O435" s="14" t="s">
        <v>3521</v>
      </c>
    </row>
    <row r="436" spans="1:16" x14ac:dyDescent="0.3">
      <c r="A436">
        <v>435</v>
      </c>
      <c r="B436" s="14" t="s">
        <v>2656</v>
      </c>
      <c r="C436" s="14" t="s">
        <v>424</v>
      </c>
      <c r="D436" s="14" t="s">
        <v>3490</v>
      </c>
      <c r="E436" s="14" t="s">
        <v>1113</v>
      </c>
      <c r="F436" s="14" t="s">
        <v>1410</v>
      </c>
      <c r="G436" s="14" t="s">
        <v>1891</v>
      </c>
      <c r="H436" s="14" t="s">
        <v>2075</v>
      </c>
      <c r="I436" t="s">
        <v>942</v>
      </c>
      <c r="J436" s="14" t="s">
        <v>36</v>
      </c>
      <c r="K436" s="15">
        <v>45398</v>
      </c>
      <c r="L436" s="14" t="s">
        <v>2847</v>
      </c>
      <c r="M436" t="s">
        <v>3500</v>
      </c>
      <c r="N436" s="15">
        <v>45401</v>
      </c>
      <c r="O436" s="14"/>
      <c r="P436">
        <v>53</v>
      </c>
    </row>
    <row r="437" spans="1:16" x14ac:dyDescent="0.3">
      <c r="A437">
        <v>436</v>
      </c>
      <c r="B437" s="14" t="s">
        <v>2657</v>
      </c>
      <c r="C437" s="14" t="s">
        <v>425</v>
      </c>
      <c r="D437" s="14" t="s">
        <v>3490</v>
      </c>
      <c r="E437" s="14" t="s">
        <v>1113</v>
      </c>
      <c r="F437" s="14" t="s">
        <v>1411</v>
      </c>
      <c r="G437" s="14" t="s">
        <v>1892</v>
      </c>
      <c r="H437" s="14" t="s">
        <v>704</v>
      </c>
      <c r="I437" t="s">
        <v>943</v>
      </c>
      <c r="J437" s="14" t="s">
        <v>36</v>
      </c>
      <c r="K437" s="15">
        <v>45398</v>
      </c>
      <c r="L437" s="14" t="s">
        <v>2847</v>
      </c>
      <c r="M437" t="s">
        <v>3500</v>
      </c>
      <c r="N437" s="15">
        <v>45401</v>
      </c>
      <c r="O437" s="14"/>
      <c r="P437">
        <v>53</v>
      </c>
    </row>
    <row r="438" spans="1:16" x14ac:dyDescent="0.3">
      <c r="A438">
        <v>437</v>
      </c>
      <c r="B438" s="14" t="s">
        <v>2658</v>
      </c>
      <c r="C438" s="14" t="s">
        <v>426</v>
      </c>
      <c r="D438" s="14" t="s">
        <v>3490</v>
      </c>
      <c r="E438" s="14" t="s">
        <v>1118</v>
      </c>
      <c r="F438" s="14" t="s">
        <v>9</v>
      </c>
      <c r="G438" s="14" t="s">
        <v>1893</v>
      </c>
      <c r="H438" s="14" t="s">
        <v>2075</v>
      </c>
      <c r="I438" t="s">
        <v>944</v>
      </c>
      <c r="J438" s="14" t="s">
        <v>35</v>
      </c>
      <c r="K438" s="15">
        <v>45399</v>
      </c>
      <c r="L438" s="14" t="s">
        <v>2847</v>
      </c>
      <c r="M438" t="s">
        <v>3523</v>
      </c>
      <c r="N438" s="15"/>
      <c r="O438" s="14"/>
      <c r="P438">
        <v>52</v>
      </c>
    </row>
    <row r="439" spans="1:16" x14ac:dyDescent="0.3">
      <c r="A439">
        <v>438</v>
      </c>
      <c r="B439" s="14" t="s">
        <v>2659</v>
      </c>
      <c r="C439" s="14" t="s">
        <v>427</v>
      </c>
      <c r="D439" s="14" t="s">
        <v>3490</v>
      </c>
      <c r="E439" s="14" t="s">
        <v>1113</v>
      </c>
      <c r="F439" s="14" t="s">
        <v>1412</v>
      </c>
      <c r="G439" s="14" t="s">
        <v>1894</v>
      </c>
      <c r="H439" s="14" t="s">
        <v>704</v>
      </c>
      <c r="I439" t="s">
        <v>945</v>
      </c>
      <c r="J439" s="14" t="s">
        <v>35</v>
      </c>
      <c r="K439" s="15">
        <v>45399</v>
      </c>
      <c r="L439" s="14" t="s">
        <v>2847</v>
      </c>
      <c r="M439" t="s">
        <v>3524</v>
      </c>
      <c r="N439" s="15"/>
      <c r="O439" s="14" t="s">
        <v>3521</v>
      </c>
    </row>
    <row r="440" spans="1:16" x14ac:dyDescent="0.3">
      <c r="A440">
        <v>439</v>
      </c>
      <c r="B440" s="14" t="s">
        <v>2660</v>
      </c>
      <c r="C440" s="14" t="s">
        <v>428</v>
      </c>
      <c r="D440" s="14" t="s">
        <v>3490</v>
      </c>
      <c r="E440" s="14" t="s">
        <v>1118</v>
      </c>
      <c r="F440" s="14" t="s">
        <v>1257</v>
      </c>
      <c r="G440" s="14" t="s">
        <v>1895</v>
      </c>
      <c r="H440" s="14" t="s">
        <v>704</v>
      </c>
      <c r="I440" t="s">
        <v>946</v>
      </c>
      <c r="J440" s="14" t="s">
        <v>44</v>
      </c>
      <c r="K440" s="15">
        <v>45399</v>
      </c>
      <c r="L440" s="14" t="s">
        <v>2847</v>
      </c>
      <c r="M440" t="s">
        <v>3524</v>
      </c>
      <c r="N440" s="15"/>
      <c r="O440" s="14"/>
      <c r="P440">
        <v>52</v>
      </c>
    </row>
    <row r="441" spans="1:16" x14ac:dyDescent="0.3">
      <c r="A441">
        <v>440</v>
      </c>
      <c r="B441" s="14" t="s">
        <v>2661</v>
      </c>
      <c r="C441" s="14" t="s">
        <v>429</v>
      </c>
      <c r="D441" s="14" t="s">
        <v>3490</v>
      </c>
      <c r="E441" s="14" t="s">
        <v>1118</v>
      </c>
      <c r="F441" s="14" t="s">
        <v>33</v>
      </c>
      <c r="G441" s="14" t="s">
        <v>1896</v>
      </c>
      <c r="H441" s="14" t="s">
        <v>704</v>
      </c>
      <c r="I441" t="s">
        <v>947</v>
      </c>
      <c r="J441" s="14" t="s">
        <v>33</v>
      </c>
      <c r="K441" s="15">
        <v>45400</v>
      </c>
      <c r="L441" s="14" t="s">
        <v>2847</v>
      </c>
      <c r="M441" t="s">
        <v>3524</v>
      </c>
      <c r="N441" s="15"/>
      <c r="O441" s="14" t="s">
        <v>3521</v>
      </c>
    </row>
    <row r="442" spans="1:16" x14ac:dyDescent="0.3">
      <c r="A442">
        <v>441</v>
      </c>
      <c r="B442" s="14" t="s">
        <v>2662</v>
      </c>
      <c r="C442" s="14" t="s">
        <v>430</v>
      </c>
      <c r="D442" s="14" t="s">
        <v>3489</v>
      </c>
      <c r="E442" s="14" t="s">
        <v>1118</v>
      </c>
      <c r="F442" s="14" t="s">
        <v>1413</v>
      </c>
      <c r="G442" s="14" t="s">
        <v>1897</v>
      </c>
      <c r="H442" s="14" t="s">
        <v>704</v>
      </c>
      <c r="I442" t="s">
        <v>948</v>
      </c>
      <c r="J442" s="14" t="s">
        <v>35</v>
      </c>
      <c r="K442" s="15">
        <v>45399</v>
      </c>
      <c r="L442" s="14" t="s">
        <v>2847</v>
      </c>
      <c r="M442" t="s">
        <v>3523</v>
      </c>
      <c r="N442" s="15"/>
      <c r="O442" s="14"/>
      <c r="P442">
        <v>52</v>
      </c>
    </row>
    <row r="443" spans="1:16" x14ac:dyDescent="0.3">
      <c r="A443">
        <v>442</v>
      </c>
      <c r="B443" s="14" t="s">
        <v>2663</v>
      </c>
      <c r="C443" s="14" t="s">
        <v>431</v>
      </c>
      <c r="D443" s="14" t="s">
        <v>3489</v>
      </c>
      <c r="E443" s="14" t="s">
        <v>1114</v>
      </c>
      <c r="F443" s="14" t="s">
        <v>1414</v>
      </c>
      <c r="G443" s="14" t="s">
        <v>1898</v>
      </c>
      <c r="H443" s="14" t="s">
        <v>704</v>
      </c>
      <c r="I443" t="s">
        <v>949</v>
      </c>
      <c r="J443" s="14" t="s">
        <v>36</v>
      </c>
      <c r="K443" s="15">
        <v>45393</v>
      </c>
      <c r="L443" s="14" t="s">
        <v>3539</v>
      </c>
      <c r="M443" t="s">
        <v>3524</v>
      </c>
      <c r="N443" s="15"/>
      <c r="O443" s="14" t="s">
        <v>3521</v>
      </c>
    </row>
    <row r="444" spans="1:16" x14ac:dyDescent="0.3">
      <c r="A444">
        <v>443</v>
      </c>
      <c r="B444" s="14" t="s">
        <v>2664</v>
      </c>
      <c r="C444" s="14" t="s">
        <v>432</v>
      </c>
      <c r="D444" s="14" t="s">
        <v>3490</v>
      </c>
      <c r="E444" s="14" t="s">
        <v>1118</v>
      </c>
      <c r="F444" s="14" t="s">
        <v>1415</v>
      </c>
      <c r="G444" s="14" t="s">
        <v>1897</v>
      </c>
      <c r="H444" s="14" t="s">
        <v>704</v>
      </c>
      <c r="I444" t="s">
        <v>950</v>
      </c>
      <c r="J444" s="14" t="s">
        <v>72</v>
      </c>
      <c r="K444" s="15">
        <v>45390</v>
      </c>
      <c r="L444" s="14" t="s">
        <v>3539</v>
      </c>
      <c r="M444" t="s">
        <v>3523</v>
      </c>
      <c r="N444" s="15"/>
      <c r="O444" s="14"/>
      <c r="P444">
        <v>61</v>
      </c>
    </row>
    <row r="445" spans="1:16" x14ac:dyDescent="0.3">
      <c r="A445">
        <v>444</v>
      </c>
      <c r="B445" s="14" t="s">
        <v>2665</v>
      </c>
      <c r="C445" s="14" t="s">
        <v>433</v>
      </c>
      <c r="D445" s="14" t="s">
        <v>3490</v>
      </c>
      <c r="E445" s="14" t="s">
        <v>1118</v>
      </c>
      <c r="F445" s="14" t="s">
        <v>1416</v>
      </c>
      <c r="G445" s="14" t="s">
        <v>1899</v>
      </c>
      <c r="H445" s="14" t="s">
        <v>704</v>
      </c>
      <c r="I445" t="s">
        <v>951</v>
      </c>
      <c r="J445" s="14" t="s">
        <v>36</v>
      </c>
      <c r="K445" s="15">
        <v>45392</v>
      </c>
      <c r="L445" s="14" t="s">
        <v>2845</v>
      </c>
      <c r="M445" t="s">
        <v>3500</v>
      </c>
      <c r="N445" s="15">
        <v>45401</v>
      </c>
      <c r="O445" s="14"/>
      <c r="P445">
        <v>59</v>
      </c>
    </row>
    <row r="446" spans="1:16" x14ac:dyDescent="0.3">
      <c r="A446">
        <v>445</v>
      </c>
      <c r="B446" s="14" t="s">
        <v>2666</v>
      </c>
      <c r="C446" s="14" t="s">
        <v>434</v>
      </c>
      <c r="D446" s="14" t="s">
        <v>3490</v>
      </c>
      <c r="E446" s="14" t="s">
        <v>1118</v>
      </c>
      <c r="F446" s="14" t="s">
        <v>1417</v>
      </c>
      <c r="G446" s="14" t="s">
        <v>1900</v>
      </c>
      <c r="H446" s="14" t="s">
        <v>704</v>
      </c>
      <c r="I446" t="s">
        <v>952</v>
      </c>
      <c r="J446" s="14" t="s">
        <v>36</v>
      </c>
      <c r="K446" s="15">
        <v>45393</v>
      </c>
      <c r="L446" s="14" t="s">
        <v>2845</v>
      </c>
      <c r="M446" t="s">
        <v>3523</v>
      </c>
      <c r="N446" s="15"/>
      <c r="O446" s="14"/>
      <c r="P446">
        <v>58</v>
      </c>
    </row>
    <row r="447" spans="1:16" x14ac:dyDescent="0.3">
      <c r="A447">
        <v>446</v>
      </c>
      <c r="B447" s="14" t="s">
        <v>2667</v>
      </c>
      <c r="C447" s="14" t="s">
        <v>435</v>
      </c>
      <c r="D447" s="14" t="s">
        <v>3490</v>
      </c>
      <c r="E447" s="14" t="s">
        <v>1116</v>
      </c>
      <c r="F447" s="14" t="s">
        <v>55</v>
      </c>
      <c r="G447" s="14" t="s">
        <v>1901</v>
      </c>
      <c r="H447" s="14" t="s">
        <v>704</v>
      </c>
      <c r="I447" t="s">
        <v>953</v>
      </c>
      <c r="J447" s="14" t="s">
        <v>55</v>
      </c>
      <c r="K447" s="15">
        <v>45391</v>
      </c>
      <c r="L447" s="14" t="s">
        <v>2848</v>
      </c>
      <c r="M447" t="s">
        <v>3523</v>
      </c>
      <c r="N447" s="15"/>
      <c r="O447" s="14"/>
      <c r="P447">
        <v>60</v>
      </c>
    </row>
    <row r="448" spans="1:16" x14ac:dyDescent="0.3">
      <c r="A448">
        <v>447</v>
      </c>
      <c r="B448" s="14" t="s">
        <v>2668</v>
      </c>
      <c r="C448" s="14" t="s">
        <v>436</v>
      </c>
      <c r="D448" s="14" t="s">
        <v>3490</v>
      </c>
      <c r="E448" s="14" t="s">
        <v>1114</v>
      </c>
      <c r="F448" s="14" t="s">
        <v>55</v>
      </c>
      <c r="G448" s="14"/>
      <c r="H448" s="14"/>
      <c r="I448" t="s">
        <v>954</v>
      </c>
      <c r="J448" s="14" t="s">
        <v>55</v>
      </c>
      <c r="K448" s="15">
        <v>45391</v>
      </c>
      <c r="L448" s="14" t="s">
        <v>2848</v>
      </c>
      <c r="M448" t="s">
        <v>3523</v>
      </c>
      <c r="N448" s="15"/>
      <c r="O448" s="14"/>
      <c r="P448">
        <v>60</v>
      </c>
    </row>
    <row r="449" spans="1:16" x14ac:dyDescent="0.3">
      <c r="A449">
        <v>448</v>
      </c>
      <c r="B449" s="14" t="s">
        <v>2669</v>
      </c>
      <c r="C449" s="14" t="s">
        <v>437</v>
      </c>
      <c r="D449" s="14" t="s">
        <v>3490</v>
      </c>
      <c r="E449" s="14" t="s">
        <v>1118</v>
      </c>
      <c r="F449" s="14" t="s">
        <v>65</v>
      </c>
      <c r="G449" s="14" t="s">
        <v>1902</v>
      </c>
      <c r="H449" s="14" t="s">
        <v>704</v>
      </c>
      <c r="I449" t="s">
        <v>955</v>
      </c>
      <c r="J449" s="14" t="s">
        <v>35</v>
      </c>
      <c r="K449" s="15">
        <v>45388</v>
      </c>
      <c r="L449" s="14" t="s">
        <v>2848</v>
      </c>
      <c r="M449" t="s">
        <v>3524</v>
      </c>
      <c r="N449" s="15"/>
      <c r="O449" s="14" t="s">
        <v>3521</v>
      </c>
    </row>
    <row r="450" spans="1:16" x14ac:dyDescent="0.3">
      <c r="A450">
        <v>449</v>
      </c>
      <c r="B450" s="14" t="s">
        <v>2670</v>
      </c>
      <c r="C450" s="14" t="s">
        <v>438</v>
      </c>
      <c r="D450" s="14" t="s">
        <v>3490</v>
      </c>
      <c r="E450" s="14" t="s">
        <v>1118</v>
      </c>
      <c r="F450" s="14" t="s">
        <v>1229</v>
      </c>
      <c r="G450" s="14" t="s">
        <v>1903</v>
      </c>
      <c r="H450" s="14" t="s">
        <v>704</v>
      </c>
      <c r="I450" t="s">
        <v>956</v>
      </c>
      <c r="J450" s="14" t="s">
        <v>36</v>
      </c>
      <c r="K450" s="15">
        <v>45389</v>
      </c>
      <c r="L450" s="14" t="s">
        <v>2848</v>
      </c>
      <c r="M450" t="s">
        <v>3524</v>
      </c>
      <c r="N450" s="15"/>
      <c r="O450" s="14" t="s">
        <v>3521</v>
      </c>
    </row>
    <row r="451" spans="1:16" x14ac:dyDescent="0.3">
      <c r="A451">
        <v>450</v>
      </c>
      <c r="B451" s="14" t="s">
        <v>2671</v>
      </c>
      <c r="C451" s="14" t="s">
        <v>439</v>
      </c>
      <c r="D451" s="14" t="s">
        <v>3490</v>
      </c>
      <c r="E451" s="14" t="s">
        <v>1118</v>
      </c>
      <c r="F451" s="14" t="s">
        <v>9</v>
      </c>
      <c r="G451" s="14" t="s">
        <v>1904</v>
      </c>
      <c r="H451" s="14" t="s">
        <v>704</v>
      </c>
      <c r="I451" t="s">
        <v>957</v>
      </c>
      <c r="J451" s="14" t="s">
        <v>36</v>
      </c>
      <c r="K451" s="15">
        <v>45390</v>
      </c>
      <c r="L451" s="14" t="s">
        <v>2848</v>
      </c>
      <c r="M451" t="s">
        <v>3523</v>
      </c>
      <c r="N451" s="15"/>
      <c r="O451" s="14"/>
      <c r="P451">
        <v>61</v>
      </c>
    </row>
    <row r="452" spans="1:16" x14ac:dyDescent="0.3">
      <c r="A452">
        <v>451</v>
      </c>
      <c r="B452" s="14" t="s">
        <v>2672</v>
      </c>
      <c r="C452" s="14" t="s">
        <v>440</v>
      </c>
      <c r="D452" s="14" t="s">
        <v>3489</v>
      </c>
      <c r="E452" s="14" t="s">
        <v>1113</v>
      </c>
      <c r="F452" s="14" t="s">
        <v>1282</v>
      </c>
      <c r="G452" s="14" t="s">
        <v>1905</v>
      </c>
      <c r="H452" s="14" t="s">
        <v>704</v>
      </c>
      <c r="I452" t="s">
        <v>958</v>
      </c>
      <c r="J452" s="14" t="s">
        <v>3525</v>
      </c>
      <c r="K452" s="15">
        <v>45399</v>
      </c>
      <c r="L452" s="14" t="s">
        <v>2848</v>
      </c>
      <c r="M452" t="s">
        <v>3523</v>
      </c>
      <c r="N452" s="15"/>
      <c r="O452" s="14"/>
      <c r="P452">
        <v>52</v>
      </c>
    </row>
    <row r="453" spans="1:16" x14ac:dyDescent="0.3">
      <c r="A453">
        <v>452</v>
      </c>
      <c r="B453" s="14" t="s">
        <v>2673</v>
      </c>
      <c r="C453" s="14" t="s">
        <v>441</v>
      </c>
      <c r="D453" s="14" t="s">
        <v>3490</v>
      </c>
      <c r="E453" s="14" t="s">
        <v>1118</v>
      </c>
      <c r="F453" s="14" t="s">
        <v>1213</v>
      </c>
      <c r="G453" s="14" t="s">
        <v>1906</v>
      </c>
      <c r="H453" s="14" t="s">
        <v>704</v>
      </c>
      <c r="I453" t="s">
        <v>959</v>
      </c>
      <c r="J453" s="14" t="s">
        <v>57</v>
      </c>
      <c r="K453" s="15">
        <v>45399</v>
      </c>
      <c r="L453" s="14" t="s">
        <v>3539</v>
      </c>
      <c r="M453" t="s">
        <v>3524</v>
      </c>
      <c r="N453" s="15"/>
      <c r="O453" s="14" t="s">
        <v>3521</v>
      </c>
    </row>
    <row r="454" spans="1:16" x14ac:dyDescent="0.3">
      <c r="A454">
        <v>453</v>
      </c>
      <c r="B454" s="14" t="s">
        <v>2674</v>
      </c>
      <c r="C454" s="14" t="s">
        <v>442</v>
      </c>
      <c r="D454" s="14" t="s">
        <v>3490</v>
      </c>
      <c r="E454" s="14" t="s">
        <v>1118</v>
      </c>
      <c r="F454" s="14" t="s">
        <v>1418</v>
      </c>
      <c r="G454" s="14" t="s">
        <v>1907</v>
      </c>
      <c r="H454" s="14" t="s">
        <v>704</v>
      </c>
      <c r="I454" t="s">
        <v>960</v>
      </c>
      <c r="J454" s="14" t="s">
        <v>36</v>
      </c>
      <c r="K454" s="15">
        <v>45399</v>
      </c>
      <c r="L454" s="14" t="s">
        <v>2847</v>
      </c>
      <c r="M454" t="s">
        <v>3523</v>
      </c>
      <c r="N454" s="15"/>
      <c r="O454" s="14"/>
      <c r="P454">
        <v>52</v>
      </c>
    </row>
    <row r="455" spans="1:16" x14ac:dyDescent="0.3">
      <c r="A455">
        <v>454</v>
      </c>
      <c r="B455" s="14" t="s">
        <v>2675</v>
      </c>
      <c r="C455" s="14" t="s">
        <v>366</v>
      </c>
      <c r="D455" s="14" t="s">
        <v>3490</v>
      </c>
      <c r="E455" s="14" t="s">
        <v>1118</v>
      </c>
      <c r="F455" s="14" t="s">
        <v>42</v>
      </c>
      <c r="G455" s="14" t="s">
        <v>1838</v>
      </c>
      <c r="H455" s="14" t="s">
        <v>704</v>
      </c>
      <c r="I455" t="s">
        <v>876</v>
      </c>
      <c r="J455" s="14" t="s">
        <v>44</v>
      </c>
      <c r="K455" s="15">
        <v>45399</v>
      </c>
      <c r="L455" s="14" t="s">
        <v>2847</v>
      </c>
      <c r="M455" t="s">
        <v>3523</v>
      </c>
      <c r="N455" s="15"/>
      <c r="O455" s="14"/>
      <c r="P455">
        <v>52</v>
      </c>
    </row>
    <row r="456" spans="1:16" x14ac:dyDescent="0.3">
      <c r="A456">
        <v>455</v>
      </c>
      <c r="B456" s="14" t="s">
        <v>2676</v>
      </c>
      <c r="C456" s="14" t="s">
        <v>443</v>
      </c>
      <c r="D456" s="14" t="s">
        <v>3490</v>
      </c>
      <c r="E456" s="14" t="s">
        <v>1118</v>
      </c>
      <c r="F456" s="14" t="s">
        <v>1419</v>
      </c>
      <c r="G456" s="14" t="s">
        <v>1908</v>
      </c>
      <c r="H456" s="14" t="s">
        <v>704</v>
      </c>
      <c r="I456" t="s">
        <v>961</v>
      </c>
      <c r="J456" s="14" t="s">
        <v>36</v>
      </c>
      <c r="K456" s="15">
        <v>45400</v>
      </c>
      <c r="L456" s="14" t="s">
        <v>2847</v>
      </c>
      <c r="M456" t="s">
        <v>3523</v>
      </c>
      <c r="N456" s="15"/>
      <c r="O456" s="14"/>
      <c r="P456">
        <v>51</v>
      </c>
    </row>
    <row r="457" spans="1:16" x14ac:dyDescent="0.3">
      <c r="A457">
        <v>456</v>
      </c>
      <c r="B457" s="14" t="s">
        <v>2677</v>
      </c>
      <c r="C457" s="14" t="s">
        <v>444</v>
      </c>
      <c r="D457" s="14" t="s">
        <v>3490</v>
      </c>
      <c r="E457" s="14" t="s">
        <v>1113</v>
      </c>
      <c r="F457" s="14" t="s">
        <v>1420</v>
      </c>
      <c r="G457" s="14" t="s">
        <v>1909</v>
      </c>
      <c r="H457" s="14" t="s">
        <v>2075</v>
      </c>
      <c r="I457" t="s">
        <v>962</v>
      </c>
      <c r="J457" s="14" t="s">
        <v>33</v>
      </c>
      <c r="K457" s="15">
        <v>45400</v>
      </c>
      <c r="L457" s="14" t="s">
        <v>2847</v>
      </c>
      <c r="M457" t="s">
        <v>3500</v>
      </c>
      <c r="N457" s="15">
        <v>45407</v>
      </c>
      <c r="O457" s="14"/>
      <c r="P457">
        <v>51</v>
      </c>
    </row>
    <row r="458" spans="1:16" x14ac:dyDescent="0.3">
      <c r="A458">
        <v>457</v>
      </c>
      <c r="B458" s="14" t="s">
        <v>2678</v>
      </c>
      <c r="C458" s="14" t="s">
        <v>445</v>
      </c>
      <c r="D458" s="14" t="s">
        <v>3490</v>
      </c>
      <c r="E458" s="14" t="s">
        <v>1118</v>
      </c>
      <c r="F458" s="14" t="s">
        <v>1165</v>
      </c>
      <c r="G458" s="14" t="s">
        <v>1910</v>
      </c>
      <c r="H458" s="14" t="s">
        <v>704</v>
      </c>
      <c r="I458" t="s">
        <v>963</v>
      </c>
      <c r="J458" s="14" t="s">
        <v>36</v>
      </c>
      <c r="K458" s="15">
        <v>45400</v>
      </c>
      <c r="L458" s="14" t="s">
        <v>2847</v>
      </c>
      <c r="M458" t="s">
        <v>3524</v>
      </c>
      <c r="N458" s="15"/>
      <c r="O458" s="14" t="s">
        <v>3521</v>
      </c>
    </row>
    <row r="459" spans="1:16" x14ac:dyDescent="0.3">
      <c r="A459">
        <v>458</v>
      </c>
      <c r="B459" s="14" t="s">
        <v>2679</v>
      </c>
      <c r="C459" s="14" t="s">
        <v>446</v>
      </c>
      <c r="D459" s="14" t="s">
        <v>3490</v>
      </c>
      <c r="E459" s="14" t="s">
        <v>1118</v>
      </c>
      <c r="F459" s="14" t="s">
        <v>1421</v>
      </c>
      <c r="G459" s="14" t="s">
        <v>1911</v>
      </c>
      <c r="H459" s="14" t="s">
        <v>704</v>
      </c>
      <c r="I459" t="s">
        <v>964</v>
      </c>
      <c r="J459" s="14" t="s">
        <v>33</v>
      </c>
      <c r="K459" s="15">
        <v>45400</v>
      </c>
      <c r="L459" s="14" t="s">
        <v>2847</v>
      </c>
      <c r="M459" t="s">
        <v>3523</v>
      </c>
      <c r="N459" s="15"/>
      <c r="O459" s="14"/>
      <c r="P459">
        <v>51</v>
      </c>
    </row>
    <row r="460" spans="1:16" x14ac:dyDescent="0.3">
      <c r="A460">
        <v>459</v>
      </c>
      <c r="B460" s="14" t="s">
        <v>2680</v>
      </c>
      <c r="C460" s="14" t="s">
        <v>447</v>
      </c>
      <c r="D460" s="14" t="s">
        <v>3490</v>
      </c>
      <c r="E460" s="14" t="s">
        <v>1113</v>
      </c>
      <c r="F460" s="14" t="s">
        <v>1398</v>
      </c>
      <c r="G460" s="14" t="s">
        <v>1912</v>
      </c>
      <c r="H460" s="14" t="s">
        <v>704</v>
      </c>
      <c r="I460" t="s">
        <v>965</v>
      </c>
      <c r="J460" s="14" t="s">
        <v>36</v>
      </c>
      <c r="K460" s="15">
        <v>45400</v>
      </c>
      <c r="L460" s="14" t="s">
        <v>2847</v>
      </c>
      <c r="M460" t="s">
        <v>3524</v>
      </c>
      <c r="N460" s="15"/>
      <c r="O460" s="14" t="s">
        <v>3521</v>
      </c>
    </row>
    <row r="461" spans="1:16" x14ac:dyDescent="0.3">
      <c r="A461">
        <v>460</v>
      </c>
      <c r="B461" s="14" t="s">
        <v>2681</v>
      </c>
      <c r="C461" s="14" t="s">
        <v>448</v>
      </c>
      <c r="D461" s="14" t="s">
        <v>3490</v>
      </c>
      <c r="E461" s="14" t="s">
        <v>1113</v>
      </c>
      <c r="F461" s="14" t="s">
        <v>1121</v>
      </c>
      <c r="G461" s="14" t="s">
        <v>1913</v>
      </c>
      <c r="H461" s="14" t="s">
        <v>704</v>
      </c>
      <c r="I461" t="s">
        <v>966</v>
      </c>
      <c r="J461" s="14" t="s">
        <v>3525</v>
      </c>
      <c r="K461" s="15">
        <v>45400</v>
      </c>
      <c r="L461" s="14" t="s">
        <v>2847</v>
      </c>
      <c r="M461" t="s">
        <v>3524</v>
      </c>
      <c r="N461" s="15"/>
      <c r="O461" s="14"/>
      <c r="P461">
        <v>51</v>
      </c>
    </row>
    <row r="462" spans="1:16" x14ac:dyDescent="0.3">
      <c r="A462">
        <v>461</v>
      </c>
      <c r="B462" s="14" t="s">
        <v>2682</v>
      </c>
      <c r="C462" s="14" t="s">
        <v>449</v>
      </c>
      <c r="D462" s="14" t="s">
        <v>3489</v>
      </c>
      <c r="E462" s="14" t="s">
        <v>1118</v>
      </c>
      <c r="F462" s="14" t="s">
        <v>1422</v>
      </c>
      <c r="G462" s="14" t="s">
        <v>1914</v>
      </c>
      <c r="H462" s="14" t="s">
        <v>2075</v>
      </c>
      <c r="I462" t="s">
        <v>967</v>
      </c>
      <c r="J462" s="14" t="s">
        <v>36</v>
      </c>
      <c r="K462" s="15">
        <v>45400</v>
      </c>
      <c r="L462" s="14" t="s">
        <v>2847</v>
      </c>
      <c r="M462" t="s">
        <v>3523</v>
      </c>
      <c r="N462" s="15"/>
      <c r="O462" s="14"/>
      <c r="P462">
        <v>51</v>
      </c>
    </row>
    <row r="463" spans="1:16" x14ac:dyDescent="0.3">
      <c r="A463">
        <v>462</v>
      </c>
      <c r="B463" s="14" t="s">
        <v>2683</v>
      </c>
      <c r="C463" s="14" t="s">
        <v>426</v>
      </c>
      <c r="D463" s="14" t="s">
        <v>3490</v>
      </c>
      <c r="E463" s="14" t="s">
        <v>1118</v>
      </c>
      <c r="F463" s="14" t="s">
        <v>9</v>
      </c>
      <c r="G463" s="14" t="s">
        <v>1893</v>
      </c>
      <c r="H463" s="14" t="s">
        <v>2075</v>
      </c>
      <c r="I463" t="s">
        <v>968</v>
      </c>
      <c r="J463" s="14" t="s">
        <v>35</v>
      </c>
      <c r="K463" s="15">
        <v>45400</v>
      </c>
      <c r="L463" s="14" t="s">
        <v>2847</v>
      </c>
      <c r="M463" t="s">
        <v>3523</v>
      </c>
      <c r="N463" s="15"/>
      <c r="O463" s="14"/>
      <c r="P463">
        <v>51</v>
      </c>
    </row>
    <row r="464" spans="1:16" x14ac:dyDescent="0.3">
      <c r="A464">
        <v>463</v>
      </c>
      <c r="B464" s="14" t="s">
        <v>2684</v>
      </c>
      <c r="C464" s="14" t="s">
        <v>450</v>
      </c>
      <c r="D464" s="14" t="s">
        <v>3489</v>
      </c>
      <c r="E464" s="14" t="s">
        <v>1118</v>
      </c>
      <c r="F464" s="14" t="s">
        <v>704</v>
      </c>
      <c r="G464" s="14" t="s">
        <v>704</v>
      </c>
      <c r="H464" s="14" t="s">
        <v>704</v>
      </c>
      <c r="I464" t="s">
        <v>969</v>
      </c>
      <c r="J464" s="14" t="s">
        <v>36</v>
      </c>
      <c r="K464" s="15">
        <v>45400</v>
      </c>
      <c r="L464" s="14" t="s">
        <v>2847</v>
      </c>
      <c r="M464" t="s">
        <v>3524</v>
      </c>
      <c r="N464" s="15"/>
      <c r="O464" s="14" t="s">
        <v>3521</v>
      </c>
    </row>
    <row r="465" spans="1:16" x14ac:dyDescent="0.3">
      <c r="A465">
        <v>464</v>
      </c>
      <c r="B465" s="14" t="s">
        <v>2685</v>
      </c>
      <c r="C465" s="14" t="s">
        <v>430</v>
      </c>
      <c r="D465" s="14" t="s">
        <v>3489</v>
      </c>
      <c r="E465" s="14" t="s">
        <v>1118</v>
      </c>
      <c r="F465" s="14" t="s">
        <v>1413</v>
      </c>
      <c r="G465" s="14" t="s">
        <v>1897</v>
      </c>
      <c r="H465" s="14" t="s">
        <v>704</v>
      </c>
      <c r="I465" t="s">
        <v>970</v>
      </c>
      <c r="J465" s="14" t="s">
        <v>35</v>
      </c>
      <c r="K465" s="15">
        <v>45400</v>
      </c>
      <c r="L465" s="14" t="s">
        <v>2847</v>
      </c>
      <c r="M465" t="s">
        <v>3523</v>
      </c>
      <c r="N465" s="15"/>
      <c r="O465" s="14"/>
      <c r="P465">
        <v>51</v>
      </c>
    </row>
    <row r="466" spans="1:16" x14ac:dyDescent="0.3">
      <c r="A466">
        <v>465</v>
      </c>
      <c r="B466" s="14" t="s">
        <v>2686</v>
      </c>
      <c r="C466" s="14" t="s">
        <v>451</v>
      </c>
      <c r="D466" s="14" t="s">
        <v>3490</v>
      </c>
      <c r="E466" s="14" t="s">
        <v>1118</v>
      </c>
      <c r="F466" s="14" t="s">
        <v>1423</v>
      </c>
      <c r="G466" s="14" t="s">
        <v>1915</v>
      </c>
      <c r="H466" s="14" t="s">
        <v>704</v>
      </c>
      <c r="I466" t="s">
        <v>971</v>
      </c>
      <c r="J466" s="14" t="s">
        <v>35</v>
      </c>
      <c r="K466" s="15">
        <v>45400</v>
      </c>
      <c r="L466" s="14" t="s">
        <v>2847</v>
      </c>
      <c r="M466" t="s">
        <v>3524</v>
      </c>
      <c r="N466" s="15"/>
      <c r="O466" s="14" t="s">
        <v>3521</v>
      </c>
    </row>
    <row r="467" spans="1:16" x14ac:dyDescent="0.3">
      <c r="A467">
        <v>466</v>
      </c>
      <c r="B467" s="14" t="s">
        <v>2687</v>
      </c>
      <c r="C467" s="14" t="s">
        <v>452</v>
      </c>
      <c r="D467" s="14" t="s">
        <v>3490</v>
      </c>
      <c r="E467" s="14" t="s">
        <v>1118</v>
      </c>
      <c r="F467" s="14" t="s">
        <v>1257</v>
      </c>
      <c r="G467" s="14" t="s">
        <v>1916</v>
      </c>
      <c r="H467" s="14" t="s">
        <v>704</v>
      </c>
      <c r="I467" t="s">
        <v>972</v>
      </c>
      <c r="J467" s="14" t="s">
        <v>44</v>
      </c>
      <c r="K467" s="15">
        <v>45400</v>
      </c>
      <c r="L467" s="14" t="s">
        <v>2847</v>
      </c>
      <c r="M467" t="s">
        <v>3523</v>
      </c>
      <c r="N467" s="15"/>
      <c r="O467" s="14"/>
      <c r="P467">
        <v>51</v>
      </c>
    </row>
    <row r="468" spans="1:16" x14ac:dyDescent="0.3">
      <c r="A468">
        <v>467</v>
      </c>
      <c r="B468" s="14" t="s">
        <v>2688</v>
      </c>
      <c r="C468" s="14" t="s">
        <v>453</v>
      </c>
      <c r="D468" s="14" t="s">
        <v>3490</v>
      </c>
      <c r="E468" s="14" t="s">
        <v>1113</v>
      </c>
      <c r="F468" s="14" t="s">
        <v>68</v>
      </c>
      <c r="G468" s="14" t="s">
        <v>1917</v>
      </c>
      <c r="H468" s="14" t="s">
        <v>704</v>
      </c>
      <c r="I468" t="s">
        <v>973</v>
      </c>
      <c r="J468" s="14" t="s">
        <v>30</v>
      </c>
      <c r="K468" s="15">
        <v>45400</v>
      </c>
      <c r="L468" s="14" t="s">
        <v>2847</v>
      </c>
      <c r="M468" t="s">
        <v>3523</v>
      </c>
      <c r="N468" s="15"/>
      <c r="O468" s="14"/>
      <c r="P468">
        <v>51</v>
      </c>
    </row>
    <row r="469" spans="1:16" x14ac:dyDescent="0.3">
      <c r="A469">
        <v>468</v>
      </c>
      <c r="B469" s="14" t="s">
        <v>2689</v>
      </c>
      <c r="C469" s="14" t="s">
        <v>454</v>
      </c>
      <c r="D469" s="14" t="s">
        <v>3489</v>
      </c>
      <c r="E469" s="14" t="s">
        <v>1113</v>
      </c>
      <c r="F469" s="14" t="s">
        <v>1424</v>
      </c>
      <c r="G469" s="14" t="s">
        <v>1918</v>
      </c>
      <c r="H469" s="14" t="s">
        <v>2084</v>
      </c>
      <c r="I469" t="s">
        <v>974</v>
      </c>
      <c r="J469" s="14" t="s">
        <v>36</v>
      </c>
      <c r="K469" s="15">
        <v>45400</v>
      </c>
      <c r="L469" s="14" t="s">
        <v>2847</v>
      </c>
      <c r="M469" t="s">
        <v>3501</v>
      </c>
      <c r="N469" s="15">
        <v>45412</v>
      </c>
      <c r="O469" s="14" t="s">
        <v>2852</v>
      </c>
      <c r="P469">
        <v>12</v>
      </c>
    </row>
    <row r="470" spans="1:16" x14ac:dyDescent="0.3">
      <c r="A470">
        <v>469</v>
      </c>
      <c r="B470" s="14" t="s">
        <v>2690</v>
      </c>
      <c r="C470" s="14" t="s">
        <v>455</v>
      </c>
      <c r="D470" s="14" t="s">
        <v>3490</v>
      </c>
      <c r="E470" s="14" t="s">
        <v>1113</v>
      </c>
      <c r="F470" s="14" t="s">
        <v>1398</v>
      </c>
      <c r="G470" s="14" t="s">
        <v>1919</v>
      </c>
      <c r="H470" s="14" t="s">
        <v>704</v>
      </c>
      <c r="I470" t="s">
        <v>975</v>
      </c>
      <c r="J470" s="14" t="s">
        <v>35</v>
      </c>
      <c r="K470" s="15">
        <v>45402</v>
      </c>
      <c r="L470" s="14" t="s">
        <v>2847</v>
      </c>
      <c r="M470" t="s">
        <v>3524</v>
      </c>
      <c r="N470" s="15"/>
      <c r="O470" s="14" t="s">
        <v>3521</v>
      </c>
    </row>
    <row r="471" spans="1:16" x14ac:dyDescent="0.3">
      <c r="A471">
        <v>470</v>
      </c>
      <c r="B471" s="14" t="s">
        <v>2691</v>
      </c>
      <c r="C471" s="14" t="s">
        <v>456</v>
      </c>
      <c r="D471" s="14" t="s">
        <v>3490</v>
      </c>
      <c r="E471" s="14" t="s">
        <v>1118</v>
      </c>
      <c r="F471" s="14" t="s">
        <v>1425</v>
      </c>
      <c r="G471" s="14" t="s">
        <v>1920</v>
      </c>
      <c r="H471" s="14" t="s">
        <v>704</v>
      </c>
      <c r="I471" t="s">
        <v>976</v>
      </c>
      <c r="J471" s="14" t="s">
        <v>3525</v>
      </c>
      <c r="K471" s="15">
        <v>45403</v>
      </c>
      <c r="L471" s="14" t="s">
        <v>2847</v>
      </c>
      <c r="M471" t="s">
        <v>3524</v>
      </c>
      <c r="N471" s="15"/>
      <c r="O471" s="14" t="s">
        <v>3521</v>
      </c>
    </row>
    <row r="472" spans="1:16" x14ac:dyDescent="0.3">
      <c r="A472">
        <v>471</v>
      </c>
      <c r="B472" s="14" t="s">
        <v>2692</v>
      </c>
      <c r="C472" s="14" t="s">
        <v>457</v>
      </c>
      <c r="D472" s="14" t="s">
        <v>3490</v>
      </c>
      <c r="E472" s="14" t="s">
        <v>1118</v>
      </c>
      <c r="F472" s="14" t="s">
        <v>67</v>
      </c>
      <c r="G472" s="14" t="s">
        <v>1921</v>
      </c>
      <c r="H472" s="14" t="s">
        <v>704</v>
      </c>
      <c r="I472" t="s">
        <v>977</v>
      </c>
      <c r="J472" s="14" t="s">
        <v>35</v>
      </c>
      <c r="K472" s="15">
        <v>45403</v>
      </c>
      <c r="L472" s="14" t="s">
        <v>2847</v>
      </c>
      <c r="M472" t="s">
        <v>3524</v>
      </c>
      <c r="N472" s="15"/>
      <c r="O472" s="14" t="s">
        <v>3521</v>
      </c>
    </row>
    <row r="473" spans="1:16" x14ac:dyDescent="0.3">
      <c r="A473">
        <v>472</v>
      </c>
      <c r="B473" s="14" t="s">
        <v>2693</v>
      </c>
      <c r="C473" s="14" t="s">
        <v>458</v>
      </c>
      <c r="D473" s="14" t="s">
        <v>3490</v>
      </c>
      <c r="E473" s="14" t="s">
        <v>1113</v>
      </c>
      <c r="F473" s="14" t="s">
        <v>67</v>
      </c>
      <c r="G473" s="14" t="s">
        <v>1922</v>
      </c>
      <c r="H473" s="14" t="s">
        <v>704</v>
      </c>
      <c r="I473" t="s">
        <v>784</v>
      </c>
      <c r="J473" s="14" t="s">
        <v>35</v>
      </c>
      <c r="K473" s="15">
        <v>45403</v>
      </c>
      <c r="L473" s="14" t="s">
        <v>2847</v>
      </c>
      <c r="M473" t="s">
        <v>3524</v>
      </c>
      <c r="N473" s="15"/>
      <c r="O473" s="14" t="s">
        <v>3521</v>
      </c>
    </row>
    <row r="474" spans="1:16" x14ac:dyDescent="0.3">
      <c r="A474">
        <v>473</v>
      </c>
      <c r="B474" s="14" t="s">
        <v>2694</v>
      </c>
      <c r="C474" s="14" t="s">
        <v>459</v>
      </c>
      <c r="D474" s="14" t="s">
        <v>3490</v>
      </c>
      <c r="E474" s="14" t="s">
        <v>1118</v>
      </c>
      <c r="F474" s="14" t="s">
        <v>1426</v>
      </c>
      <c r="G474" s="14" t="s">
        <v>1121</v>
      </c>
      <c r="H474" s="14" t="s">
        <v>704</v>
      </c>
      <c r="I474" t="s">
        <v>978</v>
      </c>
      <c r="J474" s="14" t="s">
        <v>36</v>
      </c>
      <c r="K474" s="15">
        <v>45404</v>
      </c>
      <c r="L474" s="14" t="s">
        <v>2847</v>
      </c>
      <c r="M474" t="s">
        <v>3524</v>
      </c>
      <c r="N474" s="15"/>
      <c r="O474" s="14" t="s">
        <v>3521</v>
      </c>
    </row>
    <row r="475" spans="1:16" x14ac:dyDescent="0.3">
      <c r="A475">
        <v>474</v>
      </c>
      <c r="B475" s="14" t="s">
        <v>2695</v>
      </c>
      <c r="C475" s="14" t="s">
        <v>460</v>
      </c>
      <c r="D475" s="14" t="s">
        <v>3490</v>
      </c>
      <c r="E475" s="14" t="s">
        <v>1118</v>
      </c>
      <c r="F475" s="14" t="s">
        <v>1427</v>
      </c>
      <c r="G475" s="14" t="s">
        <v>1923</v>
      </c>
      <c r="H475" s="14" t="s">
        <v>704</v>
      </c>
      <c r="I475" t="s">
        <v>979</v>
      </c>
      <c r="J475" s="14" t="s">
        <v>33</v>
      </c>
      <c r="K475" s="15">
        <v>45404</v>
      </c>
      <c r="L475" s="14" t="s">
        <v>2847</v>
      </c>
      <c r="M475" t="s">
        <v>3524</v>
      </c>
      <c r="N475" s="15"/>
      <c r="O475" s="14" t="s">
        <v>3521</v>
      </c>
    </row>
    <row r="476" spans="1:16" x14ac:dyDescent="0.3">
      <c r="A476">
        <v>475</v>
      </c>
      <c r="B476" s="14" t="s">
        <v>2696</v>
      </c>
      <c r="C476" s="14" t="s">
        <v>461</v>
      </c>
      <c r="D476" s="14" t="s">
        <v>3490</v>
      </c>
      <c r="E476" s="14" t="s">
        <v>1118</v>
      </c>
      <c r="F476" s="14" t="s">
        <v>1428</v>
      </c>
      <c r="G476" s="14" t="s">
        <v>1924</v>
      </c>
      <c r="H476" s="14" t="s">
        <v>704</v>
      </c>
      <c r="I476" t="s">
        <v>980</v>
      </c>
      <c r="J476" s="14" t="s">
        <v>30</v>
      </c>
      <c r="K476" s="15">
        <v>45404</v>
      </c>
      <c r="L476" s="14" t="s">
        <v>2847</v>
      </c>
      <c r="M476" t="s">
        <v>3524</v>
      </c>
      <c r="N476" s="15"/>
      <c r="O476" s="14"/>
      <c r="P476">
        <v>47</v>
      </c>
    </row>
    <row r="477" spans="1:16" x14ac:dyDescent="0.3">
      <c r="A477">
        <v>476</v>
      </c>
      <c r="B477" s="14" t="s">
        <v>2697</v>
      </c>
      <c r="C477" s="14" t="s">
        <v>232</v>
      </c>
      <c r="D477" s="14" t="s">
        <v>3490</v>
      </c>
      <c r="E477" s="14" t="s">
        <v>1113</v>
      </c>
      <c r="F477" s="14" t="s">
        <v>1429</v>
      </c>
      <c r="G477" s="14" t="s">
        <v>1925</v>
      </c>
      <c r="H477" s="14" t="s">
        <v>704</v>
      </c>
      <c r="I477" t="s">
        <v>981</v>
      </c>
      <c r="J477" s="14" t="s">
        <v>33</v>
      </c>
      <c r="K477" s="15">
        <v>45404</v>
      </c>
      <c r="L477" s="14" t="s">
        <v>2847</v>
      </c>
      <c r="M477" t="s">
        <v>3500</v>
      </c>
      <c r="N477" s="15">
        <v>45406</v>
      </c>
      <c r="O477" s="14"/>
      <c r="P477">
        <v>47</v>
      </c>
    </row>
    <row r="478" spans="1:16" x14ac:dyDescent="0.3">
      <c r="A478">
        <v>477</v>
      </c>
      <c r="B478" s="14" t="s">
        <v>2698</v>
      </c>
      <c r="C478" s="14" t="s">
        <v>441</v>
      </c>
      <c r="D478" s="14" t="s">
        <v>3490</v>
      </c>
      <c r="E478" s="14" t="s">
        <v>1118</v>
      </c>
      <c r="F478" s="14" t="s">
        <v>1213</v>
      </c>
      <c r="G478" s="14" t="s">
        <v>1926</v>
      </c>
      <c r="H478" s="14" t="s">
        <v>704</v>
      </c>
      <c r="I478" t="s">
        <v>959</v>
      </c>
      <c r="J478" s="14" t="s">
        <v>30</v>
      </c>
      <c r="K478" s="15">
        <v>45399</v>
      </c>
      <c r="L478" s="14" t="s">
        <v>3539</v>
      </c>
      <c r="M478" t="s">
        <v>3524</v>
      </c>
      <c r="N478" s="15"/>
      <c r="O478" s="14"/>
      <c r="P478">
        <v>52</v>
      </c>
    </row>
    <row r="479" spans="1:16" x14ac:dyDescent="0.3">
      <c r="A479">
        <v>478</v>
      </c>
      <c r="B479" s="14" t="s">
        <v>2699</v>
      </c>
      <c r="C479" s="14" t="s">
        <v>462</v>
      </c>
      <c r="D479" s="14" t="s">
        <v>3490</v>
      </c>
      <c r="E479" s="14" t="s">
        <v>1114</v>
      </c>
      <c r="F479" s="14" t="s">
        <v>1430</v>
      </c>
      <c r="G479" s="14" t="s">
        <v>1927</v>
      </c>
      <c r="H479" s="14" t="s">
        <v>704</v>
      </c>
      <c r="I479" t="s">
        <v>982</v>
      </c>
      <c r="J479" s="14" t="s">
        <v>35</v>
      </c>
      <c r="K479" s="15">
        <v>45400</v>
      </c>
      <c r="L479" s="14" t="s">
        <v>3539</v>
      </c>
      <c r="M479" t="s">
        <v>3523</v>
      </c>
      <c r="N479" s="15"/>
      <c r="O479" s="14"/>
      <c r="P479">
        <v>51</v>
      </c>
    </row>
    <row r="480" spans="1:16" x14ac:dyDescent="0.3">
      <c r="A480">
        <v>479</v>
      </c>
      <c r="B480" s="14" t="s">
        <v>2700</v>
      </c>
      <c r="C480" s="14" t="s">
        <v>463</v>
      </c>
      <c r="D480" s="14" t="s">
        <v>3489</v>
      </c>
      <c r="E480" s="14" t="s">
        <v>1118</v>
      </c>
      <c r="F480" s="14" t="s">
        <v>1429</v>
      </c>
      <c r="G480" s="14" t="s">
        <v>1928</v>
      </c>
      <c r="H480" s="14" t="s">
        <v>704</v>
      </c>
      <c r="I480" t="s">
        <v>983</v>
      </c>
      <c r="J480" s="14" t="s">
        <v>33</v>
      </c>
      <c r="K480" s="15">
        <v>45400</v>
      </c>
      <c r="L480" s="14" t="s">
        <v>3539</v>
      </c>
      <c r="M480" t="s">
        <v>3523</v>
      </c>
      <c r="N480" s="15"/>
      <c r="O480" s="14"/>
      <c r="P480">
        <v>51</v>
      </c>
    </row>
    <row r="481" spans="1:16" x14ac:dyDescent="0.3">
      <c r="A481">
        <v>480</v>
      </c>
      <c r="B481" s="14" t="s">
        <v>2701</v>
      </c>
      <c r="C481" s="14" t="s">
        <v>464</v>
      </c>
      <c r="D481" s="14" t="s">
        <v>3490</v>
      </c>
      <c r="E481" s="14" t="s">
        <v>1118</v>
      </c>
      <c r="F481" s="14" t="s">
        <v>1431</v>
      </c>
      <c r="G481" s="14" t="s">
        <v>704</v>
      </c>
      <c r="H481" s="14" t="s">
        <v>704</v>
      </c>
      <c r="I481" t="s">
        <v>984</v>
      </c>
      <c r="J481" s="14" t="s">
        <v>44</v>
      </c>
      <c r="K481" s="15">
        <v>45400</v>
      </c>
      <c r="L481" s="14" t="s">
        <v>3539</v>
      </c>
      <c r="M481" t="s">
        <v>3524</v>
      </c>
      <c r="N481" s="15"/>
      <c r="O481" s="14"/>
      <c r="P481">
        <v>51</v>
      </c>
    </row>
    <row r="482" spans="1:16" x14ac:dyDescent="0.3">
      <c r="A482">
        <v>481</v>
      </c>
      <c r="B482" s="14" t="s">
        <v>2702</v>
      </c>
      <c r="C482" s="14" t="s">
        <v>465</v>
      </c>
      <c r="D482" s="14" t="s">
        <v>3490</v>
      </c>
      <c r="E482" s="14" t="s">
        <v>1118</v>
      </c>
      <c r="F482" s="14" t="s">
        <v>1186</v>
      </c>
      <c r="G482" s="14" t="s">
        <v>1929</v>
      </c>
      <c r="H482" s="14" t="s">
        <v>704</v>
      </c>
      <c r="I482" t="s">
        <v>985</v>
      </c>
      <c r="J482" s="14" t="s">
        <v>30</v>
      </c>
      <c r="K482" s="15">
        <v>45402</v>
      </c>
      <c r="L482" s="14" t="s">
        <v>3539</v>
      </c>
      <c r="M482" t="s">
        <v>3523</v>
      </c>
      <c r="N482" s="15"/>
      <c r="O482" s="14"/>
      <c r="P482">
        <v>49</v>
      </c>
    </row>
    <row r="483" spans="1:16" x14ac:dyDescent="0.3">
      <c r="A483">
        <v>482</v>
      </c>
      <c r="B483" s="14" t="s">
        <v>2703</v>
      </c>
      <c r="C483" s="14" t="s">
        <v>466</v>
      </c>
      <c r="D483" s="14" t="s">
        <v>3490</v>
      </c>
      <c r="E483" s="14" t="s">
        <v>1113</v>
      </c>
      <c r="F483" s="14" t="s">
        <v>1432</v>
      </c>
      <c r="G483" s="14" t="s">
        <v>1737</v>
      </c>
      <c r="H483" s="14" t="s">
        <v>704</v>
      </c>
      <c r="I483" t="s">
        <v>986</v>
      </c>
      <c r="J483" s="14" t="s">
        <v>35</v>
      </c>
      <c r="K483" s="15">
        <v>45402</v>
      </c>
      <c r="L483" s="14" t="s">
        <v>3539</v>
      </c>
      <c r="M483" t="s">
        <v>3523</v>
      </c>
      <c r="N483" s="15"/>
      <c r="O483" s="14"/>
      <c r="P483">
        <v>49</v>
      </c>
    </row>
    <row r="484" spans="1:16" x14ac:dyDescent="0.3">
      <c r="A484">
        <v>483</v>
      </c>
      <c r="B484" s="14" t="s">
        <v>2704</v>
      </c>
      <c r="C484" s="14" t="s">
        <v>467</v>
      </c>
      <c r="D484" s="14" t="s">
        <v>3490</v>
      </c>
      <c r="E484" s="14" t="s">
        <v>1118</v>
      </c>
      <c r="F484" s="14" t="s">
        <v>1433</v>
      </c>
      <c r="G484" s="14" t="s">
        <v>1930</v>
      </c>
      <c r="H484" s="14" t="s">
        <v>704</v>
      </c>
      <c r="I484" t="s">
        <v>987</v>
      </c>
      <c r="J484" s="14" t="s">
        <v>30</v>
      </c>
      <c r="K484" s="15">
        <v>45402</v>
      </c>
      <c r="L484" s="14" t="s">
        <v>3539</v>
      </c>
      <c r="M484" t="s">
        <v>3523</v>
      </c>
      <c r="N484" s="15"/>
      <c r="O484" s="14"/>
      <c r="P484">
        <v>49</v>
      </c>
    </row>
    <row r="485" spans="1:16" x14ac:dyDescent="0.3">
      <c r="A485">
        <v>484</v>
      </c>
      <c r="B485" s="14" t="s">
        <v>2705</v>
      </c>
      <c r="C485" s="14" t="s">
        <v>468</v>
      </c>
      <c r="D485" s="14" t="s">
        <v>3490</v>
      </c>
      <c r="E485" s="14" t="s">
        <v>1118</v>
      </c>
      <c r="F485" s="14" t="s">
        <v>1434</v>
      </c>
      <c r="G485" s="14" t="s">
        <v>1931</v>
      </c>
      <c r="H485" s="14" t="s">
        <v>704</v>
      </c>
      <c r="I485" t="s">
        <v>988</v>
      </c>
      <c r="J485" s="14" t="s">
        <v>35</v>
      </c>
      <c r="K485" s="15">
        <v>45402</v>
      </c>
      <c r="L485" s="14" t="s">
        <v>3539</v>
      </c>
      <c r="M485" t="s">
        <v>3523</v>
      </c>
      <c r="N485" s="15"/>
      <c r="O485" s="14"/>
      <c r="P485">
        <v>49</v>
      </c>
    </row>
    <row r="486" spans="1:16" x14ac:dyDescent="0.3">
      <c r="A486">
        <v>485</v>
      </c>
      <c r="B486" s="14" t="s">
        <v>2706</v>
      </c>
      <c r="C486" s="14" t="s">
        <v>469</v>
      </c>
      <c r="D486" s="14" t="s">
        <v>3490</v>
      </c>
      <c r="E486" s="14" t="s">
        <v>1118</v>
      </c>
      <c r="F486" s="14" t="s">
        <v>1435</v>
      </c>
      <c r="G486" s="14" t="s">
        <v>1932</v>
      </c>
      <c r="H486" s="14" t="s">
        <v>704</v>
      </c>
      <c r="I486" t="s">
        <v>989</v>
      </c>
      <c r="J486" s="14" t="s">
        <v>33</v>
      </c>
      <c r="K486" s="15">
        <v>45402</v>
      </c>
      <c r="L486" s="14" t="s">
        <v>3539</v>
      </c>
      <c r="M486" t="s">
        <v>3523</v>
      </c>
      <c r="N486" s="15"/>
      <c r="O486" s="14"/>
      <c r="P486">
        <v>49</v>
      </c>
    </row>
    <row r="487" spans="1:16" x14ac:dyDescent="0.3">
      <c r="A487">
        <v>486</v>
      </c>
      <c r="B487" s="14" t="s">
        <v>2707</v>
      </c>
      <c r="C487" s="14" t="s">
        <v>470</v>
      </c>
      <c r="D487" s="14" t="s">
        <v>3489</v>
      </c>
      <c r="E487" s="14" t="s">
        <v>1118</v>
      </c>
      <c r="F487" s="14" t="s">
        <v>1436</v>
      </c>
      <c r="G487" s="14" t="s">
        <v>1933</v>
      </c>
      <c r="H487" s="14" t="s">
        <v>704</v>
      </c>
      <c r="I487" t="s">
        <v>990</v>
      </c>
      <c r="J487" s="14" t="s">
        <v>30</v>
      </c>
      <c r="K487" s="15">
        <v>45403</v>
      </c>
      <c r="L487" s="14" t="s">
        <v>3539</v>
      </c>
      <c r="M487" t="s">
        <v>3524</v>
      </c>
      <c r="N487" s="15"/>
      <c r="O487" s="14"/>
      <c r="P487">
        <v>48</v>
      </c>
    </row>
    <row r="488" spans="1:16" x14ac:dyDescent="0.3">
      <c r="A488">
        <v>487</v>
      </c>
      <c r="B488" s="14" t="s">
        <v>2708</v>
      </c>
      <c r="C488" s="14" t="s">
        <v>471</v>
      </c>
      <c r="D488" s="14" t="s">
        <v>3490</v>
      </c>
      <c r="E488" s="14" t="s">
        <v>1118</v>
      </c>
      <c r="F488" s="14" t="s">
        <v>1437</v>
      </c>
      <c r="G488" s="14" t="s">
        <v>1934</v>
      </c>
      <c r="H488" s="14" t="s">
        <v>704</v>
      </c>
      <c r="I488" t="s">
        <v>991</v>
      </c>
      <c r="J488" s="14" t="s">
        <v>30</v>
      </c>
      <c r="K488" s="15">
        <v>45404</v>
      </c>
      <c r="L488" s="14" t="s">
        <v>3539</v>
      </c>
      <c r="M488" t="s">
        <v>3524</v>
      </c>
      <c r="N488" s="15"/>
      <c r="O488" s="14" t="s">
        <v>3521</v>
      </c>
    </row>
    <row r="489" spans="1:16" x14ac:dyDescent="0.3">
      <c r="A489">
        <v>488</v>
      </c>
      <c r="B489" s="14" t="s">
        <v>2709</v>
      </c>
      <c r="C489" s="14" t="s">
        <v>472</v>
      </c>
      <c r="D489" s="14" t="s">
        <v>3490</v>
      </c>
      <c r="E489" s="14" t="s">
        <v>1118</v>
      </c>
      <c r="F489" s="14" t="s">
        <v>1438</v>
      </c>
      <c r="G489" s="14" t="s">
        <v>1935</v>
      </c>
      <c r="H489" s="14" t="s">
        <v>704</v>
      </c>
      <c r="I489" t="s">
        <v>992</v>
      </c>
      <c r="J489" s="14" t="s">
        <v>30</v>
      </c>
      <c r="K489" s="15">
        <v>45404</v>
      </c>
      <c r="L489" s="14" t="s">
        <v>3539</v>
      </c>
      <c r="M489" t="s">
        <v>3523</v>
      </c>
      <c r="N489" s="15"/>
      <c r="O489" s="14"/>
      <c r="P489">
        <v>47</v>
      </c>
    </row>
    <row r="490" spans="1:16" x14ac:dyDescent="0.3">
      <c r="A490">
        <v>489</v>
      </c>
      <c r="B490" s="14" t="s">
        <v>2710</v>
      </c>
      <c r="C490" s="14" t="s">
        <v>473</v>
      </c>
      <c r="D490" s="14" t="s">
        <v>3490</v>
      </c>
      <c r="E490" s="14" t="s">
        <v>1118</v>
      </c>
      <c r="F490" s="14" t="s">
        <v>1198</v>
      </c>
      <c r="G490" s="14" t="s">
        <v>1936</v>
      </c>
      <c r="H490" s="14" t="s">
        <v>704</v>
      </c>
      <c r="I490" t="s">
        <v>993</v>
      </c>
      <c r="J490" s="14" t="s">
        <v>36</v>
      </c>
      <c r="K490" s="15">
        <v>45404</v>
      </c>
      <c r="L490" s="14" t="s">
        <v>3539</v>
      </c>
      <c r="M490" t="s">
        <v>3524</v>
      </c>
      <c r="N490" s="15"/>
      <c r="O490" s="14" t="s">
        <v>3521</v>
      </c>
    </row>
    <row r="491" spans="1:16" x14ac:dyDescent="0.3">
      <c r="A491">
        <v>490</v>
      </c>
      <c r="B491" s="14" t="s">
        <v>2711</v>
      </c>
      <c r="C491" s="14" t="s">
        <v>474</v>
      </c>
      <c r="D491" s="14" t="s">
        <v>3490</v>
      </c>
      <c r="E491" s="14" t="s">
        <v>1113</v>
      </c>
      <c r="F491" s="14" t="s">
        <v>68</v>
      </c>
      <c r="G491" s="14" t="s">
        <v>1937</v>
      </c>
      <c r="H491" s="14" t="s">
        <v>2088</v>
      </c>
      <c r="I491" t="s">
        <v>994</v>
      </c>
      <c r="J491" s="14" t="s">
        <v>30</v>
      </c>
      <c r="K491" s="15">
        <v>45404</v>
      </c>
      <c r="L491" s="14" t="s">
        <v>3539</v>
      </c>
      <c r="M491" t="s">
        <v>3523</v>
      </c>
      <c r="N491" s="15"/>
      <c r="O491" s="14"/>
      <c r="P491">
        <v>47</v>
      </c>
    </row>
    <row r="492" spans="1:16" x14ac:dyDescent="0.3">
      <c r="A492">
        <v>491</v>
      </c>
      <c r="B492" s="14" t="s">
        <v>2712</v>
      </c>
      <c r="C492" s="14" t="s">
        <v>296</v>
      </c>
      <c r="D492" s="14" t="s">
        <v>3490</v>
      </c>
      <c r="E492" s="14" t="s">
        <v>1118</v>
      </c>
      <c r="F492" s="14" t="s">
        <v>1307</v>
      </c>
      <c r="G492" s="14" t="s">
        <v>1938</v>
      </c>
      <c r="H492" s="14" t="s">
        <v>704</v>
      </c>
      <c r="I492" t="s">
        <v>797</v>
      </c>
      <c r="J492" s="14" t="s">
        <v>30</v>
      </c>
      <c r="K492" s="15">
        <v>45404</v>
      </c>
      <c r="L492" s="14" t="s">
        <v>2848</v>
      </c>
      <c r="M492" t="s">
        <v>3500</v>
      </c>
      <c r="N492" s="15">
        <v>45414</v>
      </c>
      <c r="O492" s="14"/>
      <c r="P492">
        <v>47</v>
      </c>
    </row>
    <row r="493" spans="1:16" x14ac:dyDescent="0.3">
      <c r="A493">
        <v>492</v>
      </c>
      <c r="B493" s="14" t="s">
        <v>2713</v>
      </c>
      <c r="C493" s="14" t="s">
        <v>475</v>
      </c>
      <c r="D493" s="14" t="s">
        <v>3490</v>
      </c>
      <c r="E493" s="14" t="s">
        <v>1113</v>
      </c>
      <c r="F493" s="14" t="s">
        <v>1439</v>
      </c>
      <c r="G493" s="14" t="s">
        <v>1939</v>
      </c>
      <c r="H493" s="14" t="s">
        <v>704</v>
      </c>
      <c r="I493" t="s">
        <v>995</v>
      </c>
      <c r="J493" s="14" t="s">
        <v>36</v>
      </c>
      <c r="K493" s="15">
        <v>45404</v>
      </c>
      <c r="L493" s="14" t="s">
        <v>2845</v>
      </c>
      <c r="M493" t="s">
        <v>3500</v>
      </c>
      <c r="N493" s="15">
        <v>45406</v>
      </c>
      <c r="O493" s="14"/>
      <c r="P493">
        <v>47</v>
      </c>
    </row>
    <row r="494" spans="1:16" x14ac:dyDescent="0.3">
      <c r="A494">
        <v>493</v>
      </c>
      <c r="B494" s="14" t="s">
        <v>2714</v>
      </c>
      <c r="C494" s="14" t="s">
        <v>476</v>
      </c>
      <c r="D494" s="14" t="s">
        <v>3490</v>
      </c>
      <c r="E494" s="14" t="s">
        <v>1118</v>
      </c>
      <c r="F494" s="14" t="s">
        <v>47</v>
      </c>
      <c r="G494" s="14" t="s">
        <v>1940</v>
      </c>
      <c r="H494" s="14" t="s">
        <v>704</v>
      </c>
      <c r="I494" t="s">
        <v>634</v>
      </c>
      <c r="J494" s="14" t="s">
        <v>36</v>
      </c>
      <c r="K494" s="15">
        <v>45404</v>
      </c>
      <c r="L494" s="14" t="s">
        <v>2848</v>
      </c>
      <c r="M494" t="s">
        <v>3500</v>
      </c>
      <c r="N494" s="15">
        <v>45405</v>
      </c>
      <c r="O494" s="14"/>
      <c r="P494">
        <v>47</v>
      </c>
    </row>
    <row r="495" spans="1:16" x14ac:dyDescent="0.3">
      <c r="A495">
        <v>494</v>
      </c>
      <c r="B495" s="14" t="s">
        <v>2715</v>
      </c>
      <c r="C495" s="14" t="s">
        <v>477</v>
      </c>
      <c r="D495" s="14" t="s">
        <v>3490</v>
      </c>
      <c r="E495" s="14" t="s">
        <v>1118</v>
      </c>
      <c r="F495" s="14" t="s">
        <v>1440</v>
      </c>
      <c r="G495" s="14" t="s">
        <v>1941</v>
      </c>
      <c r="H495" s="14" t="s">
        <v>704</v>
      </c>
      <c r="I495" t="s">
        <v>996</v>
      </c>
      <c r="J495" s="14" t="s">
        <v>72</v>
      </c>
      <c r="K495" s="15">
        <v>45405</v>
      </c>
      <c r="L495" s="14" t="s">
        <v>2845</v>
      </c>
      <c r="M495" t="s">
        <v>3500</v>
      </c>
      <c r="N495" s="15">
        <v>45407</v>
      </c>
      <c r="O495" s="14"/>
      <c r="P495">
        <v>46</v>
      </c>
    </row>
    <row r="496" spans="1:16" x14ac:dyDescent="0.3">
      <c r="A496">
        <v>495</v>
      </c>
      <c r="B496" s="14" t="s">
        <v>2716</v>
      </c>
      <c r="C496" s="14" t="s">
        <v>478</v>
      </c>
      <c r="D496" s="14" t="s">
        <v>3490</v>
      </c>
      <c r="E496" s="14" t="s">
        <v>1118</v>
      </c>
      <c r="F496" s="14" t="s">
        <v>1441</v>
      </c>
      <c r="G496" s="14" t="s">
        <v>1942</v>
      </c>
      <c r="H496" s="14" t="s">
        <v>704</v>
      </c>
      <c r="I496" t="s">
        <v>997</v>
      </c>
      <c r="J496" s="14" t="s">
        <v>36</v>
      </c>
      <c r="K496" s="15">
        <v>45405</v>
      </c>
      <c r="L496" s="14" t="s">
        <v>2848</v>
      </c>
      <c r="M496" t="s">
        <v>3523</v>
      </c>
      <c r="N496" s="15"/>
      <c r="O496" s="14"/>
      <c r="P496">
        <v>46</v>
      </c>
    </row>
    <row r="497" spans="1:16" x14ac:dyDescent="0.3">
      <c r="A497">
        <v>496</v>
      </c>
      <c r="B497" s="14" t="s">
        <v>2717</v>
      </c>
      <c r="C497" s="14" t="s">
        <v>479</v>
      </c>
      <c r="D497" s="14" t="s">
        <v>3490</v>
      </c>
      <c r="E497" s="14" t="s">
        <v>1114</v>
      </c>
      <c r="F497" s="14" t="s">
        <v>1270</v>
      </c>
      <c r="G497" s="14"/>
      <c r="H497" s="14"/>
      <c r="I497" t="s">
        <v>998</v>
      </c>
      <c r="J497" s="14" t="s">
        <v>72</v>
      </c>
      <c r="K497" s="15">
        <v>45406</v>
      </c>
      <c r="L497" s="14" t="s">
        <v>2848</v>
      </c>
      <c r="M497" t="s">
        <v>3524</v>
      </c>
      <c r="N497" s="15"/>
      <c r="O497" s="14" t="s">
        <v>3521</v>
      </c>
    </row>
    <row r="498" spans="1:16" x14ac:dyDescent="0.3">
      <c r="A498">
        <v>497</v>
      </c>
      <c r="B498" s="14" t="s">
        <v>2718</v>
      </c>
      <c r="C498" s="14" t="s">
        <v>480</v>
      </c>
      <c r="D498" s="14" t="s">
        <v>3490</v>
      </c>
      <c r="E498" s="14" t="s">
        <v>1114</v>
      </c>
      <c r="F498" s="14" t="s">
        <v>55</v>
      </c>
      <c r="G498" s="14" t="s">
        <v>1850</v>
      </c>
      <c r="H498" s="14" t="s">
        <v>704</v>
      </c>
      <c r="I498" t="s">
        <v>999</v>
      </c>
      <c r="J498" s="14" t="s">
        <v>55</v>
      </c>
      <c r="K498" s="15">
        <v>45406</v>
      </c>
      <c r="L498" s="14" t="s">
        <v>2848</v>
      </c>
      <c r="M498" t="s">
        <v>3523</v>
      </c>
      <c r="N498" s="15"/>
      <c r="O498" s="14"/>
      <c r="P498">
        <v>45</v>
      </c>
    </row>
    <row r="499" spans="1:16" x14ac:dyDescent="0.3">
      <c r="A499">
        <v>498</v>
      </c>
      <c r="B499" s="14" t="s">
        <v>2719</v>
      </c>
      <c r="C499" s="14" t="s">
        <v>191</v>
      </c>
      <c r="D499" s="14" t="s">
        <v>3490</v>
      </c>
      <c r="E499" s="14" t="s">
        <v>1118</v>
      </c>
      <c r="F499" s="14" t="s">
        <v>1442</v>
      </c>
      <c r="G499" s="14" t="s">
        <v>1943</v>
      </c>
      <c r="H499" s="14" t="s">
        <v>704</v>
      </c>
      <c r="I499" t="s">
        <v>1000</v>
      </c>
      <c r="J499" s="14" t="s">
        <v>30</v>
      </c>
      <c r="K499" s="15">
        <v>45407</v>
      </c>
      <c r="L499" s="14" t="s">
        <v>2848</v>
      </c>
      <c r="M499" t="s">
        <v>3523</v>
      </c>
      <c r="N499" s="15"/>
      <c r="O499" s="14"/>
      <c r="P499">
        <v>44</v>
      </c>
    </row>
    <row r="500" spans="1:16" x14ac:dyDescent="0.3">
      <c r="A500">
        <v>499</v>
      </c>
      <c r="B500" s="14" t="s">
        <v>2720</v>
      </c>
      <c r="C500" s="14" t="s">
        <v>481</v>
      </c>
      <c r="D500" s="14" t="s">
        <v>3490</v>
      </c>
      <c r="E500" s="14" t="s">
        <v>1118</v>
      </c>
      <c r="F500" s="14" t="s">
        <v>49</v>
      </c>
      <c r="G500" s="14" t="s">
        <v>1944</v>
      </c>
      <c r="H500" s="14" t="s">
        <v>704</v>
      </c>
      <c r="I500" t="s">
        <v>1001</v>
      </c>
      <c r="J500" s="14" t="s">
        <v>55</v>
      </c>
      <c r="K500" s="15">
        <v>45407</v>
      </c>
      <c r="L500" s="14" t="s">
        <v>2848</v>
      </c>
      <c r="M500" t="s">
        <v>3523</v>
      </c>
      <c r="N500" s="15"/>
      <c r="O500" s="14"/>
      <c r="P500">
        <v>44</v>
      </c>
    </row>
    <row r="501" spans="1:16" x14ac:dyDescent="0.3">
      <c r="A501">
        <v>500</v>
      </c>
      <c r="B501" s="14" t="s">
        <v>2721</v>
      </c>
      <c r="C501" s="14" t="s">
        <v>482</v>
      </c>
      <c r="D501" s="14" t="s">
        <v>3490</v>
      </c>
      <c r="E501" s="14" t="s">
        <v>1113</v>
      </c>
      <c r="F501" s="14" t="s">
        <v>1121</v>
      </c>
      <c r="G501" s="14" t="s">
        <v>1945</v>
      </c>
      <c r="H501" s="14" t="s">
        <v>704</v>
      </c>
      <c r="I501" t="s">
        <v>1002</v>
      </c>
      <c r="J501" s="14" t="s">
        <v>35</v>
      </c>
      <c r="K501" s="15">
        <v>45407</v>
      </c>
      <c r="L501" s="14" t="s">
        <v>2848</v>
      </c>
      <c r="M501" t="s">
        <v>3524</v>
      </c>
      <c r="N501" s="15"/>
      <c r="O501" s="14" t="s">
        <v>3521</v>
      </c>
    </row>
    <row r="502" spans="1:16" x14ac:dyDescent="0.3">
      <c r="A502">
        <v>501</v>
      </c>
      <c r="B502" s="14" t="s">
        <v>2722</v>
      </c>
      <c r="C502" s="14" t="s">
        <v>483</v>
      </c>
      <c r="D502" s="14" t="s">
        <v>3490</v>
      </c>
      <c r="E502" s="14" t="s">
        <v>1114</v>
      </c>
      <c r="F502" s="14" t="s">
        <v>1443</v>
      </c>
      <c r="G502" s="14" t="s">
        <v>1946</v>
      </c>
      <c r="H502" s="14" t="s">
        <v>704</v>
      </c>
      <c r="I502" t="s">
        <v>1003</v>
      </c>
      <c r="J502" s="14" t="s">
        <v>72</v>
      </c>
      <c r="K502" s="15">
        <v>45404</v>
      </c>
      <c r="L502" s="14" t="s">
        <v>3539</v>
      </c>
      <c r="M502" t="s">
        <v>3524</v>
      </c>
      <c r="N502" s="15"/>
      <c r="O502" s="14" t="s">
        <v>3521</v>
      </c>
    </row>
    <row r="503" spans="1:16" x14ac:dyDescent="0.3">
      <c r="A503">
        <v>502</v>
      </c>
      <c r="B503" s="14" t="s">
        <v>2723</v>
      </c>
      <c r="C503" s="14" t="s">
        <v>484</v>
      </c>
      <c r="D503" s="14" t="s">
        <v>3490</v>
      </c>
      <c r="E503" s="14" t="s">
        <v>1118</v>
      </c>
      <c r="F503" s="14" t="s">
        <v>1165</v>
      </c>
      <c r="G503" s="14" t="s">
        <v>1947</v>
      </c>
      <c r="H503" s="14" t="s">
        <v>704</v>
      </c>
      <c r="I503" t="s">
        <v>1004</v>
      </c>
      <c r="J503" s="14" t="s">
        <v>33</v>
      </c>
      <c r="K503" s="15">
        <v>45405</v>
      </c>
      <c r="L503" s="14" t="s">
        <v>3539</v>
      </c>
      <c r="M503" t="s">
        <v>3523</v>
      </c>
      <c r="N503" s="15"/>
      <c r="O503" s="14"/>
      <c r="P503">
        <v>46</v>
      </c>
    </row>
    <row r="504" spans="1:16" x14ac:dyDescent="0.3">
      <c r="A504">
        <v>503</v>
      </c>
      <c r="B504" s="14" t="s">
        <v>2724</v>
      </c>
      <c r="C504" s="14" t="s">
        <v>485</v>
      </c>
      <c r="D504" s="14" t="s">
        <v>3490</v>
      </c>
      <c r="E504" s="14" t="s">
        <v>1118</v>
      </c>
      <c r="F504" s="14" t="s">
        <v>1444</v>
      </c>
      <c r="G504" s="14" t="s">
        <v>1948</v>
      </c>
      <c r="H504" s="14" t="s">
        <v>704</v>
      </c>
      <c r="I504" t="s">
        <v>1005</v>
      </c>
      <c r="J504" s="14" t="s">
        <v>35</v>
      </c>
      <c r="K504" s="15">
        <v>45405</v>
      </c>
      <c r="L504" s="14" t="s">
        <v>3539</v>
      </c>
      <c r="M504" t="s">
        <v>3524</v>
      </c>
      <c r="N504" s="15"/>
      <c r="O504" s="14" t="s">
        <v>3521</v>
      </c>
    </row>
    <row r="505" spans="1:16" x14ac:dyDescent="0.3">
      <c r="A505">
        <v>504</v>
      </c>
      <c r="B505" s="14" t="s">
        <v>2725</v>
      </c>
      <c r="C505" s="14" t="s">
        <v>486</v>
      </c>
      <c r="D505" s="14" t="s">
        <v>3490</v>
      </c>
      <c r="E505" s="14" t="s">
        <v>1118</v>
      </c>
      <c r="F505" s="14" t="s">
        <v>1445</v>
      </c>
      <c r="G505" s="14" t="s">
        <v>1949</v>
      </c>
      <c r="H505" s="14" t="s">
        <v>704</v>
      </c>
      <c r="I505" t="s">
        <v>1006</v>
      </c>
      <c r="J505" s="14" t="s">
        <v>30</v>
      </c>
      <c r="K505" s="15">
        <v>45405</v>
      </c>
      <c r="L505" s="14" t="s">
        <v>3539</v>
      </c>
      <c r="M505" t="s">
        <v>3524</v>
      </c>
      <c r="N505" s="15"/>
      <c r="O505" s="14" t="s">
        <v>3521</v>
      </c>
    </row>
    <row r="506" spans="1:16" x14ac:dyDescent="0.3">
      <c r="A506">
        <v>505</v>
      </c>
      <c r="B506" s="14" t="s">
        <v>2726</v>
      </c>
      <c r="C506" s="14" t="s">
        <v>487</v>
      </c>
      <c r="D506" s="14" t="s">
        <v>3490</v>
      </c>
      <c r="E506" s="14" t="s">
        <v>1114</v>
      </c>
      <c r="F506" s="14" t="s">
        <v>1270</v>
      </c>
      <c r="G506" s="14" t="s">
        <v>1950</v>
      </c>
      <c r="H506" s="14" t="s">
        <v>704</v>
      </c>
      <c r="I506" t="s">
        <v>1007</v>
      </c>
      <c r="J506" s="14" t="s">
        <v>72</v>
      </c>
      <c r="K506" s="15">
        <v>45405</v>
      </c>
      <c r="L506" s="14" t="s">
        <v>3539</v>
      </c>
      <c r="M506" t="s">
        <v>3524</v>
      </c>
      <c r="N506" s="15"/>
      <c r="O506" s="14"/>
      <c r="P506">
        <v>46</v>
      </c>
    </row>
    <row r="507" spans="1:16" x14ac:dyDescent="0.3">
      <c r="A507">
        <v>506</v>
      </c>
      <c r="B507" s="14" t="s">
        <v>2727</v>
      </c>
      <c r="C507" s="14" t="s">
        <v>488</v>
      </c>
      <c r="D507" s="14" t="s">
        <v>3490</v>
      </c>
      <c r="E507" s="14" t="s">
        <v>1118</v>
      </c>
      <c r="F507" s="14" t="s">
        <v>1446</v>
      </c>
      <c r="G507" s="14" t="s">
        <v>1951</v>
      </c>
      <c r="H507" s="14" t="s">
        <v>704</v>
      </c>
      <c r="I507" t="s">
        <v>1008</v>
      </c>
      <c r="J507" s="14" t="s">
        <v>33</v>
      </c>
      <c r="K507" s="15">
        <v>45406</v>
      </c>
      <c r="L507" s="14" t="s">
        <v>3539</v>
      </c>
      <c r="M507" t="s">
        <v>3523</v>
      </c>
      <c r="N507" s="15"/>
      <c r="O507" s="14"/>
      <c r="P507">
        <v>45</v>
      </c>
    </row>
    <row r="508" spans="1:16" x14ac:dyDescent="0.3">
      <c r="A508">
        <v>507</v>
      </c>
      <c r="B508" s="14" t="s">
        <v>2728</v>
      </c>
      <c r="C508" s="14" t="s">
        <v>489</v>
      </c>
      <c r="D508" s="14" t="s">
        <v>3490</v>
      </c>
      <c r="E508" s="14" t="s">
        <v>1118</v>
      </c>
      <c r="F508" s="14" t="s">
        <v>1447</v>
      </c>
      <c r="G508" s="14" t="s">
        <v>1952</v>
      </c>
      <c r="H508" s="14" t="s">
        <v>704</v>
      </c>
      <c r="I508" t="s">
        <v>1009</v>
      </c>
      <c r="J508" s="14" t="s">
        <v>3525</v>
      </c>
      <c r="K508" s="15">
        <v>45404</v>
      </c>
      <c r="L508" s="14" t="s">
        <v>2847</v>
      </c>
      <c r="M508" t="s">
        <v>3523</v>
      </c>
      <c r="N508" s="15"/>
      <c r="O508" s="14"/>
      <c r="P508">
        <v>47</v>
      </c>
    </row>
    <row r="509" spans="1:16" x14ac:dyDescent="0.3">
      <c r="A509">
        <v>508</v>
      </c>
      <c r="B509" s="14" t="s">
        <v>2729</v>
      </c>
      <c r="C509" s="14" t="s">
        <v>490</v>
      </c>
      <c r="D509" s="14" t="s">
        <v>3490</v>
      </c>
      <c r="E509" s="14" t="s">
        <v>1113</v>
      </c>
      <c r="F509" s="14" t="s">
        <v>1448</v>
      </c>
      <c r="G509" s="14" t="s">
        <v>1953</v>
      </c>
      <c r="H509" s="14" t="s">
        <v>704</v>
      </c>
      <c r="I509" t="s">
        <v>1010</v>
      </c>
      <c r="J509" s="14" t="s">
        <v>30</v>
      </c>
      <c r="K509" s="15">
        <v>45404</v>
      </c>
      <c r="L509" s="14" t="s">
        <v>2847</v>
      </c>
      <c r="M509" t="s">
        <v>3523</v>
      </c>
      <c r="N509" s="15"/>
      <c r="O509" s="14"/>
      <c r="P509">
        <v>47</v>
      </c>
    </row>
    <row r="510" spans="1:16" x14ac:dyDescent="0.3">
      <c r="A510">
        <v>509</v>
      </c>
      <c r="B510" s="14" t="s">
        <v>2730</v>
      </c>
      <c r="C510" s="14" t="s">
        <v>491</v>
      </c>
      <c r="D510" s="14" t="s">
        <v>3490</v>
      </c>
      <c r="E510" s="14" t="s">
        <v>1118</v>
      </c>
      <c r="F510" s="14" t="s">
        <v>1449</v>
      </c>
      <c r="G510" s="14" t="s">
        <v>1954</v>
      </c>
      <c r="H510" s="14" t="s">
        <v>2086</v>
      </c>
      <c r="I510" t="s">
        <v>1011</v>
      </c>
      <c r="J510" s="14" t="s">
        <v>30</v>
      </c>
      <c r="K510" s="15">
        <v>45404</v>
      </c>
      <c r="L510" s="14" t="s">
        <v>2847</v>
      </c>
      <c r="M510" t="s">
        <v>3524</v>
      </c>
      <c r="N510" s="15"/>
      <c r="O510" s="14" t="s">
        <v>3521</v>
      </c>
    </row>
    <row r="511" spans="1:16" x14ac:dyDescent="0.3">
      <c r="A511">
        <v>510</v>
      </c>
      <c r="B511" s="14" t="s">
        <v>2731</v>
      </c>
      <c r="C511" s="14" t="s">
        <v>492</v>
      </c>
      <c r="D511" s="14" t="s">
        <v>3490</v>
      </c>
      <c r="E511" s="14" t="s">
        <v>1113</v>
      </c>
      <c r="F511" s="14" t="s">
        <v>1242</v>
      </c>
      <c r="G511" s="14" t="s">
        <v>1955</v>
      </c>
      <c r="H511" s="14" t="s">
        <v>704</v>
      </c>
      <c r="I511" t="s">
        <v>1012</v>
      </c>
      <c r="J511" s="14" t="s">
        <v>30</v>
      </c>
      <c r="K511" s="15">
        <v>45404</v>
      </c>
      <c r="L511" s="14" t="s">
        <v>2847</v>
      </c>
      <c r="M511" t="s">
        <v>3524</v>
      </c>
      <c r="N511" s="15"/>
      <c r="O511" s="14"/>
      <c r="P511">
        <v>47</v>
      </c>
    </row>
    <row r="512" spans="1:16" x14ac:dyDescent="0.3">
      <c r="A512">
        <v>511</v>
      </c>
      <c r="B512" s="14" t="s">
        <v>2732</v>
      </c>
      <c r="C512" s="14" t="s">
        <v>493</v>
      </c>
      <c r="D512" s="14" t="s">
        <v>3490</v>
      </c>
      <c r="E512" s="14" t="s">
        <v>1118</v>
      </c>
      <c r="F512" s="14" t="s">
        <v>1450</v>
      </c>
      <c r="G512" s="14" t="s">
        <v>1956</v>
      </c>
      <c r="H512" s="14" t="s">
        <v>704</v>
      </c>
      <c r="I512" t="s">
        <v>1013</v>
      </c>
      <c r="J512" s="14" t="s">
        <v>30</v>
      </c>
      <c r="K512" s="15">
        <v>45404</v>
      </c>
      <c r="L512" s="14" t="s">
        <v>2847</v>
      </c>
      <c r="M512" t="s">
        <v>3500</v>
      </c>
      <c r="N512" s="15">
        <v>45327</v>
      </c>
      <c r="O512" s="14"/>
      <c r="P512">
        <v>47</v>
      </c>
    </row>
    <row r="513" spans="1:16" x14ac:dyDescent="0.3">
      <c r="A513">
        <v>512</v>
      </c>
      <c r="B513" s="14" t="s">
        <v>2733</v>
      </c>
      <c r="C513" s="14" t="s">
        <v>494</v>
      </c>
      <c r="D513" s="14" t="s">
        <v>3490</v>
      </c>
      <c r="E513" s="14" t="s">
        <v>1113</v>
      </c>
      <c r="F513" s="14" t="s">
        <v>1186</v>
      </c>
      <c r="G513" s="14" t="s">
        <v>1957</v>
      </c>
      <c r="H513" s="14" t="s">
        <v>704</v>
      </c>
      <c r="I513" t="s">
        <v>1014</v>
      </c>
      <c r="J513" s="14" t="s">
        <v>30</v>
      </c>
      <c r="K513" s="15">
        <v>45405</v>
      </c>
      <c r="L513" s="14" t="s">
        <v>2847</v>
      </c>
      <c r="M513" t="s">
        <v>3523</v>
      </c>
      <c r="N513" s="15"/>
      <c r="O513" s="14"/>
      <c r="P513">
        <v>46</v>
      </c>
    </row>
    <row r="514" spans="1:16" x14ac:dyDescent="0.3">
      <c r="A514">
        <v>513</v>
      </c>
      <c r="B514" s="14" t="s">
        <v>2734</v>
      </c>
      <c r="C514" s="14" t="s">
        <v>495</v>
      </c>
      <c r="D514" s="14" t="s">
        <v>3490</v>
      </c>
      <c r="E514" s="14" t="s">
        <v>1118</v>
      </c>
      <c r="F514" s="14" t="s">
        <v>1242</v>
      </c>
      <c r="G514" s="14" t="s">
        <v>1958</v>
      </c>
      <c r="H514" s="14" t="s">
        <v>704</v>
      </c>
      <c r="I514" t="s">
        <v>1015</v>
      </c>
      <c r="J514" s="14" t="s">
        <v>30</v>
      </c>
      <c r="K514" s="15">
        <v>45405</v>
      </c>
      <c r="L514" s="14" t="s">
        <v>2847</v>
      </c>
      <c r="M514" t="s">
        <v>3524</v>
      </c>
      <c r="N514" s="15"/>
      <c r="O514" s="14" t="s">
        <v>3521</v>
      </c>
    </row>
    <row r="515" spans="1:16" x14ac:dyDescent="0.3">
      <c r="A515">
        <v>514</v>
      </c>
      <c r="B515" s="14" t="s">
        <v>2735</v>
      </c>
      <c r="C515" s="14" t="s">
        <v>496</v>
      </c>
      <c r="D515" s="14" t="s">
        <v>3490</v>
      </c>
      <c r="E515" s="14" t="s">
        <v>1118</v>
      </c>
      <c r="F515" s="14" t="s">
        <v>1451</v>
      </c>
      <c r="G515" s="14" t="s">
        <v>1959</v>
      </c>
      <c r="H515" s="14" t="s">
        <v>704</v>
      </c>
      <c r="I515" t="s">
        <v>1016</v>
      </c>
      <c r="J515" s="14" t="s">
        <v>35</v>
      </c>
      <c r="K515" s="15">
        <v>45405</v>
      </c>
      <c r="L515" s="14" t="s">
        <v>2847</v>
      </c>
      <c r="M515" t="s">
        <v>3500</v>
      </c>
      <c r="N515" s="15">
        <v>45415</v>
      </c>
      <c r="O515" s="14"/>
      <c r="P515">
        <v>46</v>
      </c>
    </row>
    <row r="516" spans="1:16" x14ac:dyDescent="0.3">
      <c r="A516">
        <v>515</v>
      </c>
      <c r="B516" s="14" t="s">
        <v>2736</v>
      </c>
      <c r="C516" s="14" t="s">
        <v>497</v>
      </c>
      <c r="D516" s="14" t="s">
        <v>3490</v>
      </c>
      <c r="E516" s="14" t="s">
        <v>1118</v>
      </c>
      <c r="F516" s="14" t="s">
        <v>1186</v>
      </c>
      <c r="G516" s="14" t="s">
        <v>1960</v>
      </c>
      <c r="H516" s="14" t="s">
        <v>704</v>
      </c>
      <c r="I516" t="s">
        <v>1017</v>
      </c>
      <c r="J516" s="14" t="s">
        <v>30</v>
      </c>
      <c r="K516" s="15">
        <v>45405</v>
      </c>
      <c r="L516" s="14" t="s">
        <v>2847</v>
      </c>
      <c r="M516" t="s">
        <v>3523</v>
      </c>
      <c r="N516" s="15"/>
      <c r="O516" s="14"/>
      <c r="P516">
        <v>46</v>
      </c>
    </row>
    <row r="517" spans="1:16" x14ac:dyDescent="0.3">
      <c r="A517">
        <v>516</v>
      </c>
      <c r="B517" s="14" t="s">
        <v>2737</v>
      </c>
      <c r="C517" s="14" t="s">
        <v>498</v>
      </c>
      <c r="D517" s="14" t="s">
        <v>3490</v>
      </c>
      <c r="E517" s="14" t="s">
        <v>1118</v>
      </c>
      <c r="F517" s="14" t="s">
        <v>1396</v>
      </c>
      <c r="G517" s="14" t="s">
        <v>1961</v>
      </c>
      <c r="H517" s="14" t="s">
        <v>2075</v>
      </c>
      <c r="I517" t="s">
        <v>1018</v>
      </c>
      <c r="J517" s="14" t="s">
        <v>33</v>
      </c>
      <c r="K517" s="15">
        <v>45405</v>
      </c>
      <c r="L517" s="14" t="s">
        <v>2847</v>
      </c>
      <c r="M517" t="s">
        <v>3500</v>
      </c>
      <c r="N517" s="15">
        <v>45406</v>
      </c>
      <c r="O517" s="14"/>
      <c r="P517">
        <v>46</v>
      </c>
    </row>
    <row r="518" spans="1:16" x14ac:dyDescent="0.3">
      <c r="A518">
        <v>517</v>
      </c>
      <c r="B518" s="14" t="s">
        <v>2738</v>
      </c>
      <c r="C518" s="14" t="s">
        <v>499</v>
      </c>
      <c r="D518" s="14" t="s">
        <v>3489</v>
      </c>
      <c r="E518" s="14" t="s">
        <v>1118</v>
      </c>
      <c r="F518" s="14" t="s">
        <v>1398</v>
      </c>
      <c r="G518" s="14" t="s">
        <v>1962</v>
      </c>
      <c r="H518" s="14" t="s">
        <v>704</v>
      </c>
      <c r="I518" t="s">
        <v>1019</v>
      </c>
      <c r="J518" s="14" t="s">
        <v>35</v>
      </c>
      <c r="K518" s="15">
        <v>45405</v>
      </c>
      <c r="L518" s="14" t="s">
        <v>2847</v>
      </c>
      <c r="M518" t="s">
        <v>3524</v>
      </c>
      <c r="N518" s="15"/>
      <c r="O518" s="14" t="s">
        <v>3521</v>
      </c>
    </row>
    <row r="519" spans="1:16" x14ac:dyDescent="0.3">
      <c r="A519">
        <v>518</v>
      </c>
      <c r="B519" s="14" t="s">
        <v>2739</v>
      </c>
      <c r="C519" s="14" t="s">
        <v>500</v>
      </c>
      <c r="D519" s="14" t="s">
        <v>3490</v>
      </c>
      <c r="E519" s="14" t="s">
        <v>1113</v>
      </c>
      <c r="F519" s="14" t="s">
        <v>68</v>
      </c>
      <c r="G519" s="14" t="s">
        <v>1963</v>
      </c>
      <c r="H519" s="14" t="s">
        <v>704</v>
      </c>
      <c r="I519" t="s">
        <v>1020</v>
      </c>
      <c r="J519" s="14" t="s">
        <v>30</v>
      </c>
      <c r="K519" s="15">
        <v>45406</v>
      </c>
      <c r="L519" s="14" t="s">
        <v>2847</v>
      </c>
      <c r="M519" t="s">
        <v>3524</v>
      </c>
      <c r="N519" s="15"/>
      <c r="O519" s="14" t="s">
        <v>3521</v>
      </c>
    </row>
    <row r="520" spans="1:16" x14ac:dyDescent="0.3">
      <c r="A520">
        <v>519</v>
      </c>
      <c r="B520" s="14" t="s">
        <v>2740</v>
      </c>
      <c r="C520" s="14" t="s">
        <v>501</v>
      </c>
      <c r="D520" s="14" t="s">
        <v>3490</v>
      </c>
      <c r="E520" s="14" t="s">
        <v>1118</v>
      </c>
      <c r="F520" s="14" t="s">
        <v>1452</v>
      </c>
      <c r="G520" s="14" t="s">
        <v>1964</v>
      </c>
      <c r="H520" s="14" t="s">
        <v>704</v>
      </c>
      <c r="I520" t="s">
        <v>1021</v>
      </c>
      <c r="J520" s="14" t="s">
        <v>30</v>
      </c>
      <c r="K520" s="15">
        <v>45406</v>
      </c>
      <c r="L520" s="14" t="s">
        <v>2847</v>
      </c>
      <c r="M520" t="s">
        <v>3523</v>
      </c>
      <c r="N520" s="15"/>
      <c r="O520" s="14"/>
      <c r="P520">
        <v>45</v>
      </c>
    </row>
    <row r="521" spans="1:16" x14ac:dyDescent="0.3">
      <c r="A521">
        <v>520</v>
      </c>
      <c r="B521" s="14" t="s">
        <v>2741</v>
      </c>
      <c r="C521" s="14" t="s">
        <v>502</v>
      </c>
      <c r="D521" s="14" t="s">
        <v>3490</v>
      </c>
      <c r="E521" s="14" t="s">
        <v>1113</v>
      </c>
      <c r="F521" s="14" t="s">
        <v>1453</v>
      </c>
      <c r="G521" s="14" t="s">
        <v>1965</v>
      </c>
      <c r="H521" s="14" t="s">
        <v>704</v>
      </c>
      <c r="I521" t="s">
        <v>761</v>
      </c>
      <c r="J521" s="14" t="s">
        <v>30</v>
      </c>
      <c r="K521" s="15">
        <v>45406</v>
      </c>
      <c r="L521" s="14" t="s">
        <v>2847</v>
      </c>
      <c r="M521" t="s">
        <v>3523</v>
      </c>
      <c r="N521" s="15"/>
      <c r="O521" s="14"/>
      <c r="P521">
        <v>45</v>
      </c>
    </row>
    <row r="522" spans="1:16" x14ac:dyDescent="0.3">
      <c r="A522">
        <v>521</v>
      </c>
      <c r="B522" s="14" t="s">
        <v>2742</v>
      </c>
      <c r="C522" s="14" t="s">
        <v>503</v>
      </c>
      <c r="D522" s="14" t="s">
        <v>3490</v>
      </c>
      <c r="E522" s="14" t="s">
        <v>1113</v>
      </c>
      <c r="F522" s="14" t="s">
        <v>1454</v>
      </c>
      <c r="G522" s="14" t="s">
        <v>1966</v>
      </c>
      <c r="H522" s="14" t="s">
        <v>704</v>
      </c>
      <c r="I522" t="s">
        <v>1022</v>
      </c>
      <c r="J522" s="14" t="s">
        <v>30</v>
      </c>
      <c r="K522" s="15">
        <v>45406</v>
      </c>
      <c r="L522" s="14" t="s">
        <v>2847</v>
      </c>
      <c r="M522" t="s">
        <v>3523</v>
      </c>
      <c r="N522" s="15"/>
      <c r="O522" s="14"/>
      <c r="P522">
        <v>45</v>
      </c>
    </row>
    <row r="523" spans="1:16" x14ac:dyDescent="0.3">
      <c r="A523">
        <v>522</v>
      </c>
      <c r="B523" s="14" t="s">
        <v>2743</v>
      </c>
      <c r="C523" s="14" t="s">
        <v>504</v>
      </c>
      <c r="D523" s="14" t="s">
        <v>3490</v>
      </c>
      <c r="E523" s="14" t="s">
        <v>1113</v>
      </c>
      <c r="F523" s="14" t="s">
        <v>68</v>
      </c>
      <c r="G523" s="14" t="s">
        <v>1967</v>
      </c>
      <c r="H523" s="14" t="s">
        <v>704</v>
      </c>
      <c r="I523" t="s">
        <v>706</v>
      </c>
      <c r="J523" s="14" t="s">
        <v>30</v>
      </c>
      <c r="K523" s="15">
        <v>45406</v>
      </c>
      <c r="L523" s="14" t="s">
        <v>2847</v>
      </c>
      <c r="M523" t="s">
        <v>3524</v>
      </c>
      <c r="N523" s="15"/>
      <c r="O523" s="14"/>
      <c r="P523">
        <v>45</v>
      </c>
    </row>
    <row r="524" spans="1:16" x14ac:dyDescent="0.3">
      <c r="A524">
        <v>523</v>
      </c>
      <c r="B524" s="14" t="s">
        <v>2744</v>
      </c>
      <c r="C524" s="14" t="s">
        <v>505</v>
      </c>
      <c r="D524" s="14" t="s">
        <v>3490</v>
      </c>
      <c r="E524" s="14" t="s">
        <v>1113</v>
      </c>
      <c r="F524" s="14" t="s">
        <v>68</v>
      </c>
      <c r="G524" s="14" t="s">
        <v>1968</v>
      </c>
      <c r="H524" s="14" t="s">
        <v>704</v>
      </c>
      <c r="I524" t="s">
        <v>1023</v>
      </c>
      <c r="J524" s="14" t="s">
        <v>30</v>
      </c>
      <c r="K524" s="15">
        <v>45406</v>
      </c>
      <c r="L524" s="14" t="s">
        <v>2847</v>
      </c>
      <c r="M524" t="s">
        <v>3523</v>
      </c>
      <c r="N524" s="15"/>
      <c r="O524" s="14"/>
      <c r="P524">
        <v>45</v>
      </c>
    </row>
    <row r="525" spans="1:16" x14ac:dyDescent="0.3">
      <c r="A525">
        <v>524</v>
      </c>
      <c r="B525" s="14" t="s">
        <v>2745</v>
      </c>
      <c r="C525" s="14" t="s">
        <v>419</v>
      </c>
      <c r="D525" s="14" t="s">
        <v>3490</v>
      </c>
      <c r="E525" s="14" t="s">
        <v>1118</v>
      </c>
      <c r="F525" s="14" t="s">
        <v>1407</v>
      </c>
      <c r="G525" s="14" t="s">
        <v>1887</v>
      </c>
      <c r="H525" s="14" t="s">
        <v>704</v>
      </c>
      <c r="I525" t="s">
        <v>938</v>
      </c>
      <c r="J525" s="14" t="s">
        <v>36</v>
      </c>
      <c r="K525" s="15">
        <v>45406</v>
      </c>
      <c r="L525" s="14" t="s">
        <v>2847</v>
      </c>
      <c r="M525" t="s">
        <v>3524</v>
      </c>
      <c r="N525" s="15"/>
      <c r="O525" s="14" t="s">
        <v>3521</v>
      </c>
    </row>
    <row r="526" spans="1:16" x14ac:dyDescent="0.3">
      <c r="A526">
        <v>525</v>
      </c>
      <c r="B526" s="14" t="s">
        <v>2746</v>
      </c>
      <c r="C526" s="14" t="s">
        <v>506</v>
      </c>
      <c r="D526" s="14" t="s">
        <v>3490</v>
      </c>
      <c r="E526" s="14" t="s">
        <v>1118</v>
      </c>
      <c r="F526" s="14" t="s">
        <v>1455</v>
      </c>
      <c r="G526" s="14" t="s">
        <v>1969</v>
      </c>
      <c r="H526" s="14" t="s">
        <v>704</v>
      </c>
      <c r="I526" t="s">
        <v>1024</v>
      </c>
      <c r="J526" s="14" t="s">
        <v>30</v>
      </c>
      <c r="K526" s="15">
        <v>45406</v>
      </c>
      <c r="L526" s="14" t="s">
        <v>2847</v>
      </c>
      <c r="M526" t="s">
        <v>3524</v>
      </c>
      <c r="N526" s="15"/>
      <c r="O526" s="14" t="s">
        <v>3521</v>
      </c>
    </row>
    <row r="527" spans="1:16" x14ac:dyDescent="0.3">
      <c r="A527">
        <v>526</v>
      </c>
      <c r="B527" s="14" t="s">
        <v>2747</v>
      </c>
      <c r="C527" s="14" t="s">
        <v>507</v>
      </c>
      <c r="D527" s="14" t="s">
        <v>3490</v>
      </c>
      <c r="E527" s="14" t="s">
        <v>1118</v>
      </c>
      <c r="F527" s="14" t="s">
        <v>68</v>
      </c>
      <c r="G527" s="14" t="s">
        <v>1970</v>
      </c>
      <c r="H527" s="14" t="s">
        <v>704</v>
      </c>
      <c r="I527" t="s">
        <v>1025</v>
      </c>
      <c r="J527" s="14" t="s">
        <v>30</v>
      </c>
      <c r="K527" s="15">
        <v>45406</v>
      </c>
      <c r="L527" s="14" t="s">
        <v>2847</v>
      </c>
      <c r="M527" t="s">
        <v>3523</v>
      </c>
      <c r="N527" s="15"/>
      <c r="O527" s="14"/>
      <c r="P527">
        <v>45</v>
      </c>
    </row>
    <row r="528" spans="1:16" x14ac:dyDescent="0.3">
      <c r="A528">
        <v>527</v>
      </c>
      <c r="B528" s="14" t="s">
        <v>2748</v>
      </c>
      <c r="C528" s="14" t="s">
        <v>508</v>
      </c>
      <c r="D528" s="14" t="s">
        <v>3490</v>
      </c>
      <c r="E528" s="14" t="s">
        <v>1118</v>
      </c>
      <c r="F528" s="14" t="s">
        <v>1456</v>
      </c>
      <c r="G528" s="14" t="s">
        <v>1971</v>
      </c>
      <c r="H528" s="14" t="s">
        <v>704</v>
      </c>
      <c r="I528" t="s">
        <v>1026</v>
      </c>
      <c r="J528" s="14" t="s">
        <v>30</v>
      </c>
      <c r="K528" s="15">
        <v>45406</v>
      </c>
      <c r="L528" s="14" t="s">
        <v>2847</v>
      </c>
      <c r="M528" t="s">
        <v>3523</v>
      </c>
      <c r="N528" s="15"/>
      <c r="O528" s="14"/>
      <c r="P528">
        <v>45</v>
      </c>
    </row>
    <row r="529" spans="1:16" x14ac:dyDescent="0.3">
      <c r="A529">
        <v>528</v>
      </c>
      <c r="B529" s="14" t="s">
        <v>2749</v>
      </c>
      <c r="C529" s="14" t="s">
        <v>2217</v>
      </c>
      <c r="D529" s="14" t="s">
        <v>3489</v>
      </c>
      <c r="E529" s="14" t="s">
        <v>1118</v>
      </c>
      <c r="F529" s="14" t="s">
        <v>1457</v>
      </c>
      <c r="G529" s="14" t="s">
        <v>1972</v>
      </c>
      <c r="H529" s="14" t="s">
        <v>704</v>
      </c>
      <c r="I529" t="s">
        <v>1027</v>
      </c>
      <c r="J529" s="14" t="s">
        <v>30</v>
      </c>
      <c r="K529" s="15">
        <v>45406</v>
      </c>
      <c r="L529" s="14" t="s">
        <v>2847</v>
      </c>
      <c r="M529" t="s">
        <v>3524</v>
      </c>
      <c r="N529" s="15"/>
      <c r="O529" s="14" t="s">
        <v>3521</v>
      </c>
    </row>
    <row r="530" spans="1:16" x14ac:dyDescent="0.3">
      <c r="A530">
        <v>529</v>
      </c>
      <c r="B530" s="14" t="s">
        <v>2750</v>
      </c>
      <c r="C530" s="14" t="s">
        <v>509</v>
      </c>
      <c r="D530" s="14" t="s">
        <v>3489</v>
      </c>
      <c r="E530" s="14" t="s">
        <v>1118</v>
      </c>
      <c r="F530" s="14" t="s">
        <v>1186</v>
      </c>
      <c r="G530" s="14" t="s">
        <v>1973</v>
      </c>
      <c r="H530" s="14" t="s">
        <v>704</v>
      </c>
      <c r="I530" t="s">
        <v>1028</v>
      </c>
      <c r="J530" s="14" t="s">
        <v>30</v>
      </c>
      <c r="K530" s="15">
        <v>45406</v>
      </c>
      <c r="L530" s="14" t="s">
        <v>2847</v>
      </c>
      <c r="M530" t="s">
        <v>3524</v>
      </c>
      <c r="N530" s="15"/>
      <c r="O530" s="14" t="s">
        <v>3521</v>
      </c>
    </row>
    <row r="531" spans="1:16" x14ac:dyDescent="0.3">
      <c r="A531">
        <v>530</v>
      </c>
      <c r="B531" s="14" t="s">
        <v>2751</v>
      </c>
      <c r="C531" s="14" t="s">
        <v>510</v>
      </c>
      <c r="D531" s="14" t="s">
        <v>3490</v>
      </c>
      <c r="E531" s="14" t="s">
        <v>1113</v>
      </c>
      <c r="F531" s="14" t="s">
        <v>1458</v>
      </c>
      <c r="G531" s="14" t="s">
        <v>1974</v>
      </c>
      <c r="H531" s="14" t="s">
        <v>704</v>
      </c>
      <c r="I531" t="s">
        <v>1029</v>
      </c>
      <c r="J531" s="14" t="s">
        <v>30</v>
      </c>
      <c r="K531" s="15">
        <v>45406</v>
      </c>
      <c r="L531" s="14" t="s">
        <v>2847</v>
      </c>
      <c r="M531" t="s">
        <v>3524</v>
      </c>
      <c r="N531" s="15"/>
      <c r="O531" s="14" t="s">
        <v>3521</v>
      </c>
    </row>
    <row r="532" spans="1:16" x14ac:dyDescent="0.3">
      <c r="A532">
        <v>531</v>
      </c>
      <c r="B532" s="14" t="s">
        <v>2752</v>
      </c>
      <c r="C532" s="14" t="s">
        <v>511</v>
      </c>
      <c r="D532" s="14" t="s">
        <v>3490</v>
      </c>
      <c r="E532" s="14" t="s">
        <v>1118</v>
      </c>
      <c r="F532" s="14" t="s">
        <v>1323</v>
      </c>
      <c r="G532" s="14" t="s">
        <v>1783</v>
      </c>
      <c r="H532" s="14" t="s">
        <v>704</v>
      </c>
      <c r="I532" t="s">
        <v>813</v>
      </c>
      <c r="J532" s="14" t="s">
        <v>72</v>
      </c>
      <c r="K532" s="15">
        <v>45406</v>
      </c>
      <c r="L532" s="14" t="s">
        <v>2847</v>
      </c>
      <c r="M532" t="s">
        <v>3523</v>
      </c>
      <c r="N532" s="15"/>
      <c r="O532" s="14"/>
      <c r="P532">
        <v>45</v>
      </c>
    </row>
    <row r="533" spans="1:16" x14ac:dyDescent="0.3">
      <c r="A533">
        <v>532</v>
      </c>
      <c r="B533" s="14" t="s">
        <v>2753</v>
      </c>
      <c r="C533" s="14" t="s">
        <v>512</v>
      </c>
      <c r="D533" s="14" t="s">
        <v>3490</v>
      </c>
      <c r="E533" s="14" t="s">
        <v>1113</v>
      </c>
      <c r="F533" s="14" t="s">
        <v>1459</v>
      </c>
      <c r="G533" s="14" t="s">
        <v>1975</v>
      </c>
      <c r="H533" s="14" t="s">
        <v>704</v>
      </c>
      <c r="I533" t="s">
        <v>1030</v>
      </c>
      <c r="J533" s="14" t="s">
        <v>36</v>
      </c>
      <c r="K533" s="15">
        <v>45407</v>
      </c>
      <c r="L533" s="14" t="s">
        <v>2847</v>
      </c>
      <c r="M533" t="s">
        <v>3523</v>
      </c>
      <c r="N533" s="15"/>
      <c r="O533" s="14"/>
      <c r="P533">
        <v>44</v>
      </c>
    </row>
    <row r="534" spans="1:16" x14ac:dyDescent="0.3">
      <c r="A534">
        <v>533</v>
      </c>
      <c r="B534" s="14" t="s">
        <v>2754</v>
      </c>
      <c r="C534" s="14" t="s">
        <v>191</v>
      </c>
      <c r="D534" s="14" t="s">
        <v>3490</v>
      </c>
      <c r="E534" s="14" t="s">
        <v>1118</v>
      </c>
      <c r="F534" s="14" t="s">
        <v>68</v>
      </c>
      <c r="G534" s="14" t="s">
        <v>1943</v>
      </c>
      <c r="H534" s="14" t="s">
        <v>2088</v>
      </c>
      <c r="I534" t="s">
        <v>1000</v>
      </c>
      <c r="J534" s="14" t="s">
        <v>30</v>
      </c>
      <c r="K534" s="15">
        <v>45407</v>
      </c>
      <c r="L534" s="14" t="s">
        <v>2847</v>
      </c>
      <c r="M534" t="s">
        <v>3523</v>
      </c>
      <c r="N534" s="15"/>
      <c r="O534" s="14"/>
      <c r="P534">
        <v>44</v>
      </c>
    </row>
    <row r="535" spans="1:16" x14ac:dyDescent="0.3">
      <c r="A535">
        <v>534</v>
      </c>
      <c r="B535" s="14" t="s">
        <v>2755</v>
      </c>
      <c r="C535" s="14" t="s">
        <v>513</v>
      </c>
      <c r="D535" s="14" t="s">
        <v>3489</v>
      </c>
      <c r="E535" s="14" t="s">
        <v>1118</v>
      </c>
      <c r="F535" s="14" t="s">
        <v>1392</v>
      </c>
      <c r="G535" s="14" t="s">
        <v>1976</v>
      </c>
      <c r="H535" s="14" t="s">
        <v>2075</v>
      </c>
      <c r="I535" t="s">
        <v>1031</v>
      </c>
      <c r="J535" s="14" t="s">
        <v>30</v>
      </c>
      <c r="K535" s="15">
        <v>45407</v>
      </c>
      <c r="L535" s="14" t="s">
        <v>2847</v>
      </c>
      <c r="M535" t="s">
        <v>3523</v>
      </c>
      <c r="N535" s="15"/>
      <c r="O535" s="14"/>
      <c r="P535">
        <v>44</v>
      </c>
    </row>
    <row r="536" spans="1:16" x14ac:dyDescent="0.3">
      <c r="A536">
        <v>535</v>
      </c>
      <c r="B536" s="14" t="s">
        <v>2756</v>
      </c>
      <c r="C536" s="14" t="s">
        <v>514</v>
      </c>
      <c r="D536" s="14" t="s">
        <v>3490</v>
      </c>
      <c r="E536" s="14" t="s">
        <v>1118</v>
      </c>
      <c r="F536" s="14" t="s">
        <v>1392</v>
      </c>
      <c r="G536" s="14" t="s">
        <v>1977</v>
      </c>
      <c r="H536" s="14" t="s">
        <v>704</v>
      </c>
      <c r="I536" t="s">
        <v>1032</v>
      </c>
      <c r="J536" s="14" t="s">
        <v>30</v>
      </c>
      <c r="K536" s="15">
        <v>45407</v>
      </c>
      <c r="L536" s="14" t="s">
        <v>2847</v>
      </c>
      <c r="M536" t="s">
        <v>3524</v>
      </c>
      <c r="N536" s="15"/>
      <c r="O536" s="14" t="s">
        <v>3521</v>
      </c>
    </row>
    <row r="537" spans="1:16" x14ac:dyDescent="0.3">
      <c r="A537">
        <v>536</v>
      </c>
      <c r="B537" s="14" t="s">
        <v>2757</v>
      </c>
      <c r="C537" s="14" t="s">
        <v>515</v>
      </c>
      <c r="D537" s="14" t="s">
        <v>3489</v>
      </c>
      <c r="E537" s="14" t="s">
        <v>1118</v>
      </c>
      <c r="F537" s="14" t="s">
        <v>1460</v>
      </c>
      <c r="G537" s="14" t="s">
        <v>1978</v>
      </c>
      <c r="H537" s="14" t="s">
        <v>704</v>
      </c>
      <c r="I537" t="s">
        <v>1033</v>
      </c>
      <c r="J537" s="14" t="s">
        <v>35</v>
      </c>
      <c r="K537" s="15">
        <v>45407</v>
      </c>
      <c r="L537" s="14" t="s">
        <v>2847</v>
      </c>
      <c r="M537" t="s">
        <v>3523</v>
      </c>
      <c r="N537" s="15"/>
      <c r="O537" s="14"/>
      <c r="P537">
        <v>44</v>
      </c>
    </row>
    <row r="538" spans="1:16" x14ac:dyDescent="0.3">
      <c r="A538">
        <v>537</v>
      </c>
      <c r="B538" s="14" t="s">
        <v>2758</v>
      </c>
      <c r="C538" s="14" t="s">
        <v>516</v>
      </c>
      <c r="D538" s="14" t="s">
        <v>3490</v>
      </c>
      <c r="E538" s="14" t="s">
        <v>1118</v>
      </c>
      <c r="F538" s="14" t="s">
        <v>1461</v>
      </c>
      <c r="G538" s="14" t="s">
        <v>1979</v>
      </c>
      <c r="H538" s="14" t="s">
        <v>704</v>
      </c>
      <c r="I538" t="s">
        <v>1034</v>
      </c>
      <c r="J538" s="14" t="s">
        <v>30</v>
      </c>
      <c r="K538" s="15">
        <v>45407</v>
      </c>
      <c r="L538" s="14" t="s">
        <v>2847</v>
      </c>
      <c r="M538" t="s">
        <v>3523</v>
      </c>
      <c r="N538" s="15"/>
      <c r="O538" s="14"/>
      <c r="P538">
        <v>44</v>
      </c>
    </row>
    <row r="539" spans="1:16" x14ac:dyDescent="0.3">
      <c r="A539">
        <v>538</v>
      </c>
      <c r="B539" s="14" t="s">
        <v>2759</v>
      </c>
      <c r="C539" s="14" t="s">
        <v>517</v>
      </c>
      <c r="D539" s="14" t="s">
        <v>3489</v>
      </c>
      <c r="E539" s="14" t="s">
        <v>1118</v>
      </c>
      <c r="F539" s="14" t="s">
        <v>1462</v>
      </c>
      <c r="G539" s="14" t="s">
        <v>1980</v>
      </c>
      <c r="H539" s="14" t="s">
        <v>704</v>
      </c>
      <c r="I539" t="s">
        <v>1035</v>
      </c>
      <c r="J539" s="14" t="s">
        <v>36</v>
      </c>
      <c r="K539" s="15">
        <v>45407</v>
      </c>
      <c r="L539" s="14" t="s">
        <v>2848</v>
      </c>
      <c r="M539" t="s">
        <v>3523</v>
      </c>
      <c r="N539" s="15"/>
      <c r="O539" s="14"/>
      <c r="P539">
        <v>44</v>
      </c>
    </row>
    <row r="540" spans="1:16" x14ac:dyDescent="0.3">
      <c r="A540">
        <v>539</v>
      </c>
      <c r="B540" s="14" t="s">
        <v>2760</v>
      </c>
      <c r="C540" s="14" t="s">
        <v>518</v>
      </c>
      <c r="D540" s="14" t="s">
        <v>3490</v>
      </c>
      <c r="E540" s="14" t="s">
        <v>1118</v>
      </c>
      <c r="F540" s="14" t="s">
        <v>1213</v>
      </c>
      <c r="G540" s="14" t="s">
        <v>1981</v>
      </c>
      <c r="H540" s="14" t="s">
        <v>704</v>
      </c>
      <c r="I540" t="s">
        <v>1036</v>
      </c>
      <c r="J540" s="14" t="s">
        <v>35</v>
      </c>
      <c r="K540" s="15">
        <v>45405</v>
      </c>
      <c r="L540" s="14" t="s">
        <v>2847</v>
      </c>
      <c r="M540" t="s">
        <v>3523</v>
      </c>
      <c r="N540" s="15"/>
      <c r="O540" s="14"/>
      <c r="P540">
        <v>46</v>
      </c>
    </row>
    <row r="541" spans="1:16" x14ac:dyDescent="0.3">
      <c r="A541">
        <v>540</v>
      </c>
      <c r="B541" s="14" t="s">
        <v>2761</v>
      </c>
      <c r="C541" s="14" t="s">
        <v>519</v>
      </c>
      <c r="D541" s="14" t="s">
        <v>3490</v>
      </c>
      <c r="E541" s="14" t="s">
        <v>1118</v>
      </c>
      <c r="F541" s="14" t="s">
        <v>1463</v>
      </c>
      <c r="G541" s="14" t="s">
        <v>1982</v>
      </c>
      <c r="H541" s="14" t="s">
        <v>2085</v>
      </c>
      <c r="I541" t="s">
        <v>1037</v>
      </c>
      <c r="J541" s="14" t="s">
        <v>30</v>
      </c>
      <c r="K541" s="15">
        <v>45405</v>
      </c>
      <c r="L541" s="14" t="s">
        <v>2847</v>
      </c>
      <c r="M541" t="s">
        <v>3523</v>
      </c>
      <c r="N541" s="15"/>
      <c r="O541" s="14"/>
      <c r="P541">
        <v>46</v>
      </c>
    </row>
    <row r="542" spans="1:16" x14ac:dyDescent="0.3">
      <c r="A542">
        <v>541</v>
      </c>
      <c r="B542" s="14" t="s">
        <v>2762</v>
      </c>
      <c r="C542" s="14" t="s">
        <v>520</v>
      </c>
      <c r="D542" s="14" t="s">
        <v>3490</v>
      </c>
      <c r="E542" s="14" t="s">
        <v>1118</v>
      </c>
      <c r="F542" s="14" t="s">
        <v>68</v>
      </c>
      <c r="G542" s="14" t="s">
        <v>1983</v>
      </c>
      <c r="H542" s="14" t="s">
        <v>704</v>
      </c>
      <c r="I542" t="s">
        <v>1038</v>
      </c>
      <c r="J542" s="14" t="s">
        <v>30</v>
      </c>
      <c r="K542" s="15">
        <v>45405</v>
      </c>
      <c r="L542" s="14" t="s">
        <v>2847</v>
      </c>
      <c r="M542" t="s">
        <v>3523</v>
      </c>
      <c r="N542" s="15"/>
      <c r="O542" s="14"/>
      <c r="P542">
        <v>46</v>
      </c>
    </row>
    <row r="543" spans="1:16" x14ac:dyDescent="0.3">
      <c r="A543">
        <v>542</v>
      </c>
      <c r="B543" s="14" t="s">
        <v>2763</v>
      </c>
      <c r="C543" s="14" t="s">
        <v>521</v>
      </c>
      <c r="D543" s="14" t="s">
        <v>3490</v>
      </c>
      <c r="E543" s="14" t="s">
        <v>1118</v>
      </c>
      <c r="F543" s="14" t="s">
        <v>1464</v>
      </c>
      <c r="G543" s="14" t="s">
        <v>1984</v>
      </c>
      <c r="H543" s="14" t="s">
        <v>704</v>
      </c>
      <c r="I543" t="s">
        <v>1039</v>
      </c>
      <c r="J543" s="14" t="s">
        <v>35</v>
      </c>
      <c r="K543" s="15">
        <v>45407</v>
      </c>
      <c r="L543" s="14" t="s">
        <v>2847</v>
      </c>
      <c r="M543" t="s">
        <v>3524</v>
      </c>
      <c r="N543" s="15"/>
      <c r="O543" s="14"/>
      <c r="P543">
        <v>44</v>
      </c>
    </row>
    <row r="544" spans="1:16" x14ac:dyDescent="0.3">
      <c r="A544">
        <v>543</v>
      </c>
      <c r="B544" s="14" t="s">
        <v>2764</v>
      </c>
      <c r="C544" s="14" t="s">
        <v>522</v>
      </c>
      <c r="D544" s="14" t="s">
        <v>3490</v>
      </c>
      <c r="E544" s="14" t="s">
        <v>1118</v>
      </c>
      <c r="F544" s="14" t="s">
        <v>1465</v>
      </c>
      <c r="G544" s="14" t="s">
        <v>1985</v>
      </c>
      <c r="H544" s="14" t="s">
        <v>2086</v>
      </c>
      <c r="I544" t="s">
        <v>1040</v>
      </c>
      <c r="J544" s="14" t="s">
        <v>30</v>
      </c>
      <c r="K544" s="15">
        <v>45407</v>
      </c>
      <c r="L544" s="14" t="s">
        <v>2847</v>
      </c>
      <c r="M544" t="s">
        <v>3524</v>
      </c>
      <c r="N544" s="15"/>
      <c r="O544" s="14" t="s">
        <v>3521</v>
      </c>
    </row>
    <row r="545" spans="1:16" x14ac:dyDescent="0.3">
      <c r="A545">
        <v>544</v>
      </c>
      <c r="B545" s="14" t="s">
        <v>2765</v>
      </c>
      <c r="C545" s="14" t="s">
        <v>523</v>
      </c>
      <c r="D545" s="14" t="s">
        <v>3490</v>
      </c>
      <c r="E545" s="14" t="s">
        <v>1118</v>
      </c>
      <c r="F545" s="14" t="s">
        <v>47</v>
      </c>
      <c r="G545" s="14" t="s">
        <v>1986</v>
      </c>
      <c r="H545" s="14" t="s">
        <v>704</v>
      </c>
      <c r="I545" t="s">
        <v>1041</v>
      </c>
      <c r="J545" s="14" t="s">
        <v>36</v>
      </c>
      <c r="K545" s="15">
        <v>45407</v>
      </c>
      <c r="L545" s="14" t="s">
        <v>2847</v>
      </c>
      <c r="M545" t="s">
        <v>3524</v>
      </c>
      <c r="N545" s="15"/>
      <c r="O545" s="14" t="s">
        <v>3521</v>
      </c>
    </row>
    <row r="546" spans="1:16" x14ac:dyDescent="0.3">
      <c r="A546">
        <v>545</v>
      </c>
      <c r="B546" s="14" t="s">
        <v>2766</v>
      </c>
      <c r="C546" s="14" t="s">
        <v>524</v>
      </c>
      <c r="D546" s="14" t="s">
        <v>3490</v>
      </c>
      <c r="E546" s="14" t="s">
        <v>1113</v>
      </c>
      <c r="F546" s="14" t="s">
        <v>1466</v>
      </c>
      <c r="G546" s="14" t="s">
        <v>1987</v>
      </c>
      <c r="H546" s="14" t="s">
        <v>704</v>
      </c>
      <c r="I546" t="s">
        <v>1042</v>
      </c>
      <c r="J546" s="14" t="s">
        <v>30</v>
      </c>
      <c r="K546" s="15">
        <v>45407</v>
      </c>
      <c r="L546" s="14" t="s">
        <v>2847</v>
      </c>
      <c r="M546" t="s">
        <v>3523</v>
      </c>
      <c r="N546" s="15"/>
      <c r="O546" s="14"/>
      <c r="P546">
        <v>44</v>
      </c>
    </row>
    <row r="547" spans="1:16" x14ac:dyDescent="0.3">
      <c r="A547">
        <v>546</v>
      </c>
      <c r="B547" s="14" t="s">
        <v>2767</v>
      </c>
      <c r="C547" s="14" t="s">
        <v>525</v>
      </c>
      <c r="D547" s="14" t="s">
        <v>3490</v>
      </c>
      <c r="E547" s="14" t="s">
        <v>1118</v>
      </c>
      <c r="F547" s="14" t="s">
        <v>1467</v>
      </c>
      <c r="G547" s="14" t="s">
        <v>1988</v>
      </c>
      <c r="H547" s="14" t="s">
        <v>2088</v>
      </c>
      <c r="I547" t="s">
        <v>1043</v>
      </c>
      <c r="J547" s="14" t="s">
        <v>35</v>
      </c>
      <c r="K547" s="15">
        <v>45407</v>
      </c>
      <c r="L547" s="14" t="s">
        <v>2847</v>
      </c>
      <c r="M547" t="s">
        <v>3523</v>
      </c>
      <c r="N547" s="15"/>
      <c r="O547" s="14"/>
      <c r="P547">
        <v>44</v>
      </c>
    </row>
    <row r="548" spans="1:16" x14ac:dyDescent="0.3">
      <c r="A548">
        <v>547</v>
      </c>
      <c r="B548" s="14" t="s">
        <v>2768</v>
      </c>
      <c r="C548" s="14" t="s">
        <v>526</v>
      </c>
      <c r="D548" s="14" t="s">
        <v>3489</v>
      </c>
      <c r="E548" s="14" t="s">
        <v>1118</v>
      </c>
      <c r="F548" s="14" t="s">
        <v>33</v>
      </c>
      <c r="G548" s="14" t="s">
        <v>1989</v>
      </c>
      <c r="H548" s="14" t="s">
        <v>704</v>
      </c>
      <c r="I548" t="s">
        <v>1044</v>
      </c>
      <c r="J548" s="14" t="s">
        <v>33</v>
      </c>
      <c r="K548" s="15">
        <v>45407</v>
      </c>
      <c r="L548" s="14" t="s">
        <v>2847</v>
      </c>
      <c r="M548" t="s">
        <v>3524</v>
      </c>
      <c r="N548" s="15"/>
      <c r="O548" s="14" t="s">
        <v>3521</v>
      </c>
    </row>
    <row r="549" spans="1:16" x14ac:dyDescent="0.3">
      <c r="A549">
        <v>548</v>
      </c>
      <c r="B549" s="14" t="s">
        <v>2769</v>
      </c>
      <c r="C549" s="14" t="s">
        <v>527</v>
      </c>
      <c r="D549" s="14" t="s">
        <v>3490</v>
      </c>
      <c r="E549" s="14" t="s">
        <v>1118</v>
      </c>
      <c r="F549" s="14" t="s">
        <v>28</v>
      </c>
      <c r="G549" s="14" t="s">
        <v>1990</v>
      </c>
      <c r="H549" s="14" t="s">
        <v>704</v>
      </c>
      <c r="I549" t="s">
        <v>1045</v>
      </c>
      <c r="J549" s="14" t="s">
        <v>64</v>
      </c>
      <c r="K549" s="15">
        <v>45407</v>
      </c>
      <c r="L549" s="14" t="s">
        <v>2847</v>
      </c>
      <c r="M549" t="s">
        <v>3524</v>
      </c>
      <c r="N549" s="15"/>
      <c r="O549" s="14" t="s">
        <v>3521</v>
      </c>
    </row>
    <row r="550" spans="1:16" x14ac:dyDescent="0.3">
      <c r="A550">
        <v>549</v>
      </c>
      <c r="B550" s="14" t="s">
        <v>2770</v>
      </c>
      <c r="C550" s="14" t="s">
        <v>509</v>
      </c>
      <c r="D550" s="14" t="s">
        <v>3490</v>
      </c>
      <c r="E550" s="14" t="s">
        <v>1118</v>
      </c>
      <c r="F550" s="14" t="s">
        <v>1186</v>
      </c>
      <c r="G550" s="14" t="s">
        <v>1973</v>
      </c>
      <c r="H550" s="14" t="s">
        <v>704</v>
      </c>
      <c r="I550" t="s">
        <v>1028</v>
      </c>
      <c r="J550" s="14" t="s">
        <v>30</v>
      </c>
      <c r="K550" s="15">
        <v>45407</v>
      </c>
      <c r="L550" s="14" t="s">
        <v>2847</v>
      </c>
      <c r="M550" t="s">
        <v>3524</v>
      </c>
      <c r="N550" s="15"/>
      <c r="O550" s="14" t="s">
        <v>3521</v>
      </c>
    </row>
    <row r="551" spans="1:16" x14ac:dyDescent="0.3">
      <c r="A551">
        <v>550</v>
      </c>
      <c r="B551" s="14" t="s">
        <v>2771</v>
      </c>
      <c r="C551" s="14" t="s">
        <v>528</v>
      </c>
      <c r="D551" s="14" t="s">
        <v>3490</v>
      </c>
      <c r="E551" s="14" t="s">
        <v>1118</v>
      </c>
      <c r="F551" s="14" t="s">
        <v>1468</v>
      </c>
      <c r="G551" s="14" t="s">
        <v>1991</v>
      </c>
      <c r="H551" s="14" t="s">
        <v>704</v>
      </c>
      <c r="I551" t="s">
        <v>1046</v>
      </c>
      <c r="J551" s="14" t="s">
        <v>30</v>
      </c>
      <c r="K551" s="15">
        <v>45407</v>
      </c>
      <c r="L551" s="14" t="s">
        <v>2847</v>
      </c>
      <c r="M551" t="s">
        <v>3524</v>
      </c>
      <c r="N551" s="15"/>
      <c r="O551" s="14" t="s">
        <v>3521</v>
      </c>
    </row>
    <row r="552" spans="1:16" x14ac:dyDescent="0.3">
      <c r="A552">
        <v>551</v>
      </c>
      <c r="B552" s="14" t="s">
        <v>2772</v>
      </c>
      <c r="C552" s="14" t="s">
        <v>2218</v>
      </c>
      <c r="D552" s="14" t="s">
        <v>3490</v>
      </c>
      <c r="E552" s="14" t="s">
        <v>1118</v>
      </c>
      <c r="F552" s="14" t="s">
        <v>1469</v>
      </c>
      <c r="G552" s="14" t="s">
        <v>1992</v>
      </c>
      <c r="H552" s="14" t="s">
        <v>704</v>
      </c>
      <c r="I552" t="s">
        <v>1047</v>
      </c>
      <c r="J552" s="14" t="s">
        <v>35</v>
      </c>
      <c r="K552" s="15">
        <v>45408</v>
      </c>
      <c r="L552" s="14" t="s">
        <v>2847</v>
      </c>
      <c r="M552" t="s">
        <v>3524</v>
      </c>
      <c r="N552" s="15"/>
      <c r="O552" s="14" t="s">
        <v>3521</v>
      </c>
    </row>
    <row r="553" spans="1:16" x14ac:dyDescent="0.3">
      <c r="A553">
        <v>552</v>
      </c>
      <c r="B553" s="14" t="s">
        <v>2773</v>
      </c>
      <c r="C553" s="14" t="s">
        <v>465</v>
      </c>
      <c r="D553" s="14" t="s">
        <v>3490</v>
      </c>
      <c r="E553" s="14" t="s">
        <v>1118</v>
      </c>
      <c r="F553" s="14" t="s">
        <v>1470</v>
      </c>
      <c r="G553" s="14" t="s">
        <v>1993</v>
      </c>
      <c r="H553" s="14" t="s">
        <v>704</v>
      </c>
      <c r="I553" t="s">
        <v>985</v>
      </c>
      <c r="J553" s="14" t="s">
        <v>36</v>
      </c>
      <c r="K553" s="15">
        <v>45409</v>
      </c>
      <c r="L553" s="14" t="s">
        <v>2847</v>
      </c>
      <c r="M553" t="s">
        <v>3523</v>
      </c>
      <c r="N553" s="15"/>
      <c r="O553" s="14"/>
      <c r="P553">
        <v>42</v>
      </c>
    </row>
    <row r="554" spans="1:16" x14ac:dyDescent="0.3">
      <c r="A554">
        <v>553</v>
      </c>
      <c r="B554" s="14" t="s">
        <v>2774</v>
      </c>
      <c r="C554" s="14" t="s">
        <v>529</v>
      </c>
      <c r="D554" s="14" t="s">
        <v>3490</v>
      </c>
      <c r="E554" s="14" t="s">
        <v>1118</v>
      </c>
      <c r="F554" s="14" t="s">
        <v>1385</v>
      </c>
      <c r="G554" s="14" t="s">
        <v>1858</v>
      </c>
      <c r="H554" s="14" t="s">
        <v>704</v>
      </c>
      <c r="I554" t="s">
        <v>1048</v>
      </c>
      <c r="J554" s="14" t="s">
        <v>36</v>
      </c>
      <c r="K554" s="15">
        <v>45408</v>
      </c>
      <c r="L554" s="14" t="s">
        <v>2847</v>
      </c>
      <c r="M554" t="s">
        <v>3524</v>
      </c>
      <c r="N554" s="15"/>
      <c r="O554" s="14" t="s">
        <v>3521</v>
      </c>
    </row>
    <row r="555" spans="1:16" x14ac:dyDescent="0.3">
      <c r="A555">
        <v>554</v>
      </c>
      <c r="B555" s="14" t="s">
        <v>2775</v>
      </c>
      <c r="C555" s="14" t="s">
        <v>530</v>
      </c>
      <c r="D555" s="14" t="s">
        <v>3490</v>
      </c>
      <c r="E555" s="14" t="s">
        <v>1118</v>
      </c>
      <c r="F555" s="14" t="s">
        <v>1471</v>
      </c>
      <c r="G555" s="14" t="s">
        <v>1723</v>
      </c>
      <c r="H555" s="14" t="s">
        <v>704</v>
      </c>
      <c r="I555" t="s">
        <v>1049</v>
      </c>
      <c r="J555" s="14" t="s">
        <v>64</v>
      </c>
      <c r="K555" s="15">
        <v>45409</v>
      </c>
      <c r="L555" s="14" t="s">
        <v>2847</v>
      </c>
      <c r="M555" t="s">
        <v>3523</v>
      </c>
      <c r="N555" s="15"/>
      <c r="O555" s="14"/>
      <c r="P555">
        <v>42</v>
      </c>
    </row>
    <row r="556" spans="1:16" x14ac:dyDescent="0.3">
      <c r="A556">
        <v>555</v>
      </c>
      <c r="B556" s="14" t="s">
        <v>2776</v>
      </c>
      <c r="C556" s="14" t="s">
        <v>531</v>
      </c>
      <c r="D556" s="14" t="s">
        <v>3489</v>
      </c>
      <c r="E556" s="14" t="s">
        <v>1118</v>
      </c>
      <c r="F556" s="14" t="s">
        <v>1472</v>
      </c>
      <c r="G556" s="14" t="s">
        <v>1994</v>
      </c>
      <c r="H556" s="14" t="s">
        <v>704</v>
      </c>
      <c r="I556" t="s">
        <v>1050</v>
      </c>
      <c r="J556" s="14" t="s">
        <v>64</v>
      </c>
      <c r="K556" s="15">
        <v>45409</v>
      </c>
      <c r="L556" s="14" t="s">
        <v>2847</v>
      </c>
      <c r="M556" t="s">
        <v>3523</v>
      </c>
      <c r="N556" s="15"/>
      <c r="O556" s="14"/>
      <c r="P556">
        <v>42</v>
      </c>
    </row>
    <row r="557" spans="1:16" x14ac:dyDescent="0.3">
      <c r="A557">
        <v>556</v>
      </c>
      <c r="B557" s="14" t="s">
        <v>2777</v>
      </c>
      <c r="C557" s="14" t="s">
        <v>532</v>
      </c>
      <c r="D557" s="14" t="s">
        <v>3490</v>
      </c>
      <c r="E557" s="14" t="s">
        <v>1118</v>
      </c>
      <c r="F557" s="14" t="s">
        <v>1473</v>
      </c>
      <c r="G557" s="14" t="s">
        <v>1995</v>
      </c>
      <c r="H557" s="14" t="s">
        <v>704</v>
      </c>
      <c r="I557" t="s">
        <v>1051</v>
      </c>
      <c r="J557" s="14" t="s">
        <v>30</v>
      </c>
      <c r="K557" s="15">
        <v>45409</v>
      </c>
      <c r="L557" s="14" t="s">
        <v>2847</v>
      </c>
      <c r="M557" t="s">
        <v>3524</v>
      </c>
      <c r="N557" s="15"/>
      <c r="O557" s="14" t="s">
        <v>3521</v>
      </c>
    </row>
    <row r="558" spans="1:16" x14ac:dyDescent="0.3">
      <c r="A558">
        <v>557</v>
      </c>
      <c r="B558" s="14" t="s">
        <v>2778</v>
      </c>
      <c r="C558" s="14" t="s">
        <v>533</v>
      </c>
      <c r="D558" s="14" t="s">
        <v>3490</v>
      </c>
      <c r="E558" s="14" t="s">
        <v>1118</v>
      </c>
      <c r="F558" s="14" t="s">
        <v>1474</v>
      </c>
      <c r="G558" s="14" t="s">
        <v>1901</v>
      </c>
      <c r="H558" s="14" t="s">
        <v>704</v>
      </c>
      <c r="I558" t="s">
        <v>1052</v>
      </c>
      <c r="J558" s="14" t="s">
        <v>1213</v>
      </c>
      <c r="K558" s="15">
        <v>45411</v>
      </c>
      <c r="L558" s="14" t="s">
        <v>2847</v>
      </c>
      <c r="M558" t="s">
        <v>3523</v>
      </c>
      <c r="N558" s="15"/>
      <c r="O558" s="14"/>
      <c r="P558">
        <v>40</v>
      </c>
    </row>
    <row r="559" spans="1:16" x14ac:dyDescent="0.3">
      <c r="A559">
        <v>558</v>
      </c>
      <c r="B559" s="14" t="s">
        <v>2779</v>
      </c>
      <c r="C559" s="14" t="s">
        <v>534</v>
      </c>
      <c r="D559" s="14" t="s">
        <v>3489</v>
      </c>
      <c r="E559" s="14" t="s">
        <v>1118</v>
      </c>
      <c r="F559" s="14" t="s">
        <v>1475</v>
      </c>
      <c r="G559" s="14" t="s">
        <v>1996</v>
      </c>
      <c r="H559" s="14" t="s">
        <v>704</v>
      </c>
      <c r="I559" t="s">
        <v>1053</v>
      </c>
      <c r="J559" s="14" t="s">
        <v>36</v>
      </c>
      <c r="K559" s="15">
        <v>45411</v>
      </c>
      <c r="L559" s="14" t="s">
        <v>2847</v>
      </c>
      <c r="M559" t="s">
        <v>3523</v>
      </c>
      <c r="N559" s="15"/>
      <c r="O559" s="14"/>
      <c r="P559">
        <v>40</v>
      </c>
    </row>
    <row r="560" spans="1:16" x14ac:dyDescent="0.3">
      <c r="A560">
        <v>559</v>
      </c>
      <c r="B560" s="14" t="s">
        <v>2780</v>
      </c>
      <c r="C560" s="14" t="s">
        <v>535</v>
      </c>
      <c r="D560" s="14" t="s">
        <v>3489</v>
      </c>
      <c r="E560" s="14" t="s">
        <v>1118</v>
      </c>
      <c r="F560" s="14" t="s">
        <v>1137</v>
      </c>
      <c r="G560" s="14" t="s">
        <v>1997</v>
      </c>
      <c r="H560" s="14" t="s">
        <v>704</v>
      </c>
      <c r="I560" t="s">
        <v>1054</v>
      </c>
      <c r="J560" s="14" t="s">
        <v>36</v>
      </c>
      <c r="K560" s="15">
        <v>45411</v>
      </c>
      <c r="L560" s="14" t="s">
        <v>2847</v>
      </c>
      <c r="M560" t="s">
        <v>3523</v>
      </c>
      <c r="N560" s="15"/>
      <c r="O560" s="14"/>
      <c r="P560">
        <v>40</v>
      </c>
    </row>
    <row r="561" spans="1:16" x14ac:dyDescent="0.3">
      <c r="A561">
        <v>560</v>
      </c>
      <c r="B561" s="14" t="s">
        <v>2781</v>
      </c>
      <c r="C561" s="14" t="s">
        <v>536</v>
      </c>
      <c r="D561" s="14" t="s">
        <v>3490</v>
      </c>
      <c r="E561" s="14" t="s">
        <v>1118</v>
      </c>
      <c r="F561" s="14" t="s">
        <v>1476</v>
      </c>
      <c r="G561" s="14" t="s">
        <v>1998</v>
      </c>
      <c r="H561" s="14" t="s">
        <v>704</v>
      </c>
      <c r="I561" t="s">
        <v>1055</v>
      </c>
      <c r="J561" s="14" t="s">
        <v>64</v>
      </c>
      <c r="K561" s="15">
        <v>45411</v>
      </c>
      <c r="L561" s="14" t="s">
        <v>2847</v>
      </c>
      <c r="M561" t="s">
        <v>3524</v>
      </c>
      <c r="N561" s="15"/>
      <c r="O561" s="14" t="s">
        <v>3521</v>
      </c>
    </row>
    <row r="562" spans="1:16" x14ac:dyDescent="0.3">
      <c r="A562">
        <v>561</v>
      </c>
      <c r="B562" s="14" t="s">
        <v>2782</v>
      </c>
      <c r="C562" s="14" t="s">
        <v>537</v>
      </c>
      <c r="D562" s="14" t="s">
        <v>3489</v>
      </c>
      <c r="E562" s="14" t="s">
        <v>1118</v>
      </c>
      <c r="F562" s="14" t="s">
        <v>1477</v>
      </c>
      <c r="G562" s="14" t="s">
        <v>1999</v>
      </c>
      <c r="H562" s="14" t="s">
        <v>704</v>
      </c>
      <c r="I562" t="s">
        <v>1056</v>
      </c>
      <c r="J562" s="14" t="s">
        <v>36</v>
      </c>
      <c r="K562" s="15">
        <v>45411</v>
      </c>
      <c r="L562" s="14" t="s">
        <v>2847</v>
      </c>
      <c r="M562" t="s">
        <v>3523</v>
      </c>
      <c r="N562" s="15"/>
      <c r="O562" s="14"/>
      <c r="P562">
        <v>40</v>
      </c>
    </row>
    <row r="563" spans="1:16" x14ac:dyDescent="0.3">
      <c r="A563">
        <v>562</v>
      </c>
      <c r="B563" s="14" t="s">
        <v>2783</v>
      </c>
      <c r="C563" s="14" t="s">
        <v>538</v>
      </c>
      <c r="D563" s="14" t="s">
        <v>3490</v>
      </c>
      <c r="E563" s="14" t="s">
        <v>1113</v>
      </c>
      <c r="F563" s="14" t="s">
        <v>1478</v>
      </c>
      <c r="G563" s="14" t="s">
        <v>2000</v>
      </c>
      <c r="H563" s="14" t="s">
        <v>704</v>
      </c>
      <c r="I563" t="s">
        <v>1057</v>
      </c>
      <c r="J563" s="14" t="s">
        <v>33</v>
      </c>
      <c r="K563" s="15">
        <v>45410</v>
      </c>
      <c r="L563" s="14" t="s">
        <v>3539</v>
      </c>
      <c r="M563" t="s">
        <v>3524</v>
      </c>
      <c r="N563" s="15"/>
      <c r="O563" s="14" t="s">
        <v>3521</v>
      </c>
    </row>
    <row r="564" spans="1:16" x14ac:dyDescent="0.3">
      <c r="A564">
        <v>563</v>
      </c>
      <c r="B564" s="14" t="s">
        <v>2784</v>
      </c>
      <c r="C564" s="14" t="s">
        <v>539</v>
      </c>
      <c r="D564" s="14" t="s">
        <v>3490</v>
      </c>
      <c r="E564" s="14" t="s">
        <v>1118</v>
      </c>
      <c r="F564" s="14" t="s">
        <v>1479</v>
      </c>
      <c r="G564" s="14" t="s">
        <v>2001</v>
      </c>
      <c r="H564" s="14" t="s">
        <v>704</v>
      </c>
      <c r="I564" t="s">
        <v>1058</v>
      </c>
      <c r="J564" s="14" t="s">
        <v>35</v>
      </c>
      <c r="K564" s="15">
        <v>45411</v>
      </c>
      <c r="L564" s="14" t="s">
        <v>2845</v>
      </c>
      <c r="M564" t="s">
        <v>3523</v>
      </c>
      <c r="N564" s="15"/>
      <c r="O564" s="14"/>
      <c r="P564">
        <v>40</v>
      </c>
    </row>
    <row r="565" spans="1:16" x14ac:dyDescent="0.3">
      <c r="A565">
        <v>564</v>
      </c>
      <c r="B565" s="14" t="s">
        <v>2785</v>
      </c>
      <c r="C565" s="14" t="s">
        <v>540</v>
      </c>
      <c r="D565" s="14" t="s">
        <v>3490</v>
      </c>
      <c r="E565" s="14" t="s">
        <v>1118</v>
      </c>
      <c r="F565" s="14" t="s">
        <v>1480</v>
      </c>
      <c r="G565" s="14" t="s">
        <v>704</v>
      </c>
      <c r="H565" s="14" t="s">
        <v>704</v>
      </c>
      <c r="I565" t="s">
        <v>1059</v>
      </c>
      <c r="J565" s="14" t="s">
        <v>35</v>
      </c>
      <c r="K565" s="15">
        <v>45411</v>
      </c>
      <c r="L565" s="14" t="s">
        <v>2845</v>
      </c>
      <c r="M565" t="s">
        <v>3523</v>
      </c>
      <c r="N565" s="15"/>
      <c r="O565" s="14"/>
      <c r="P565">
        <v>40</v>
      </c>
    </row>
    <row r="566" spans="1:16" x14ac:dyDescent="0.3">
      <c r="A566">
        <v>565</v>
      </c>
      <c r="B566" s="14" t="s">
        <v>2786</v>
      </c>
      <c r="C566" s="14" t="s">
        <v>541</v>
      </c>
      <c r="D566" s="14" t="s">
        <v>3489</v>
      </c>
      <c r="E566" s="14" t="s">
        <v>1118</v>
      </c>
      <c r="F566" s="14" t="s">
        <v>1481</v>
      </c>
      <c r="G566" s="14" t="s">
        <v>2002</v>
      </c>
      <c r="H566" s="14" t="s">
        <v>2088</v>
      </c>
      <c r="I566" t="s">
        <v>1060</v>
      </c>
      <c r="J566" s="14" t="s">
        <v>35</v>
      </c>
      <c r="K566" s="15">
        <v>45409</v>
      </c>
      <c r="L566" s="14" t="s">
        <v>2848</v>
      </c>
      <c r="M566" t="s">
        <v>3523</v>
      </c>
      <c r="N566" s="15"/>
      <c r="O566" s="14"/>
      <c r="P566">
        <v>42</v>
      </c>
    </row>
    <row r="567" spans="1:16" x14ac:dyDescent="0.3">
      <c r="A567">
        <v>566</v>
      </c>
      <c r="B567" s="14" t="s">
        <v>2787</v>
      </c>
      <c r="C567" s="14" t="s">
        <v>542</v>
      </c>
      <c r="D567" s="14" t="s">
        <v>3490</v>
      </c>
      <c r="E567" s="14" t="s">
        <v>1118</v>
      </c>
      <c r="F567" s="14" t="s">
        <v>1482</v>
      </c>
      <c r="G567" s="14" t="s">
        <v>2003</v>
      </c>
      <c r="H567" s="14" t="s">
        <v>704</v>
      </c>
      <c r="I567" t="s">
        <v>1061</v>
      </c>
      <c r="J567" s="14" t="s">
        <v>44</v>
      </c>
      <c r="K567" s="15">
        <v>45411</v>
      </c>
      <c r="L567" s="14" t="s">
        <v>2847</v>
      </c>
      <c r="M567" t="s">
        <v>3524</v>
      </c>
      <c r="N567" s="15"/>
      <c r="O567" s="14" t="s">
        <v>3521</v>
      </c>
    </row>
    <row r="568" spans="1:16" x14ac:dyDescent="0.3">
      <c r="A568">
        <v>567</v>
      </c>
      <c r="B568" s="14" t="s">
        <v>2788</v>
      </c>
      <c r="C568" s="14" t="s">
        <v>543</v>
      </c>
      <c r="D568" s="14" t="s">
        <v>3490</v>
      </c>
      <c r="E568" s="14" t="s">
        <v>1118</v>
      </c>
      <c r="F568" s="14" t="s">
        <v>65</v>
      </c>
      <c r="G568" s="14" t="s">
        <v>2004</v>
      </c>
      <c r="H568" s="14" t="s">
        <v>704</v>
      </c>
      <c r="I568" t="s">
        <v>1062</v>
      </c>
      <c r="J568" s="14" t="s">
        <v>33</v>
      </c>
      <c r="K568" s="15">
        <v>45411</v>
      </c>
      <c r="L568" s="14" t="s">
        <v>2847</v>
      </c>
      <c r="M568" t="s">
        <v>3523</v>
      </c>
      <c r="N568" s="15"/>
      <c r="O568" s="14"/>
      <c r="P568">
        <v>40</v>
      </c>
    </row>
    <row r="569" spans="1:16" x14ac:dyDescent="0.3">
      <c r="A569">
        <v>568</v>
      </c>
      <c r="B569" s="14" t="s">
        <v>2789</v>
      </c>
      <c r="C569" s="14" t="s">
        <v>544</v>
      </c>
      <c r="D569" s="14" t="s">
        <v>3490</v>
      </c>
      <c r="E569" s="14" t="s">
        <v>1118</v>
      </c>
      <c r="F569" s="14" t="s">
        <v>1121</v>
      </c>
      <c r="G569" s="14" t="s">
        <v>2005</v>
      </c>
      <c r="H569" s="14" t="s">
        <v>2066</v>
      </c>
      <c r="I569" t="s">
        <v>1063</v>
      </c>
      <c r="J569" s="14" t="s">
        <v>1213</v>
      </c>
      <c r="K569" s="15">
        <v>45412</v>
      </c>
      <c r="L569" s="14" t="s">
        <v>2847</v>
      </c>
      <c r="M569" t="s">
        <v>3523</v>
      </c>
      <c r="N569" s="15"/>
      <c r="O569" s="14"/>
      <c r="P569">
        <v>39</v>
      </c>
    </row>
    <row r="570" spans="1:16" x14ac:dyDescent="0.3">
      <c r="A570">
        <v>569</v>
      </c>
      <c r="B570" s="14" t="s">
        <v>2790</v>
      </c>
      <c r="C570" s="14" t="s">
        <v>2219</v>
      </c>
      <c r="D570" s="14" t="s">
        <v>3490</v>
      </c>
      <c r="E570" s="14" t="s">
        <v>1113</v>
      </c>
      <c r="F570" s="14" t="s">
        <v>1242</v>
      </c>
      <c r="G570" s="14" t="s">
        <v>2006</v>
      </c>
      <c r="H570" s="14" t="s">
        <v>2087</v>
      </c>
      <c r="I570" t="s">
        <v>1064</v>
      </c>
      <c r="J570" s="14" t="s">
        <v>64</v>
      </c>
      <c r="K570" s="15">
        <v>45412</v>
      </c>
      <c r="L570" s="14" t="s">
        <v>2847</v>
      </c>
      <c r="M570" t="s">
        <v>3523</v>
      </c>
      <c r="N570" s="15"/>
      <c r="O570" s="14"/>
      <c r="P570">
        <v>39</v>
      </c>
    </row>
    <row r="571" spans="1:16" x14ac:dyDescent="0.3">
      <c r="A571">
        <v>570</v>
      </c>
      <c r="B571" s="14" t="s">
        <v>2791</v>
      </c>
      <c r="C571" s="14" t="s">
        <v>545</v>
      </c>
      <c r="D571" s="14" t="s">
        <v>3489</v>
      </c>
      <c r="E571" s="14" t="s">
        <v>1113</v>
      </c>
      <c r="F571" s="14" t="s">
        <v>1483</v>
      </c>
      <c r="G571" s="14" t="s">
        <v>2007</v>
      </c>
      <c r="H571" s="14" t="s">
        <v>704</v>
      </c>
      <c r="I571" t="s">
        <v>1065</v>
      </c>
      <c r="J571" s="14" t="s">
        <v>64</v>
      </c>
      <c r="K571" s="15">
        <v>45413</v>
      </c>
      <c r="L571" s="14" t="s">
        <v>2847</v>
      </c>
      <c r="M571" t="s">
        <v>3523</v>
      </c>
      <c r="N571" s="15"/>
      <c r="O571" s="14"/>
      <c r="P571">
        <v>38</v>
      </c>
    </row>
    <row r="572" spans="1:16" x14ac:dyDescent="0.3">
      <c r="A572">
        <v>571</v>
      </c>
      <c r="B572" s="14" t="s">
        <v>2792</v>
      </c>
      <c r="C572" s="14" t="s">
        <v>546</v>
      </c>
      <c r="D572" s="14" t="s">
        <v>3489</v>
      </c>
      <c r="E572" s="14" t="s">
        <v>1118</v>
      </c>
      <c r="F572" s="14" t="s">
        <v>1213</v>
      </c>
      <c r="G572" s="14" t="s">
        <v>2008</v>
      </c>
      <c r="H572" s="14" t="s">
        <v>704</v>
      </c>
      <c r="I572" t="s">
        <v>1066</v>
      </c>
      <c r="J572" s="14" t="s">
        <v>30</v>
      </c>
      <c r="K572" s="15">
        <v>45413</v>
      </c>
      <c r="L572" s="14" t="s">
        <v>2847</v>
      </c>
      <c r="M572" t="s">
        <v>3523</v>
      </c>
      <c r="N572" s="15"/>
      <c r="O572" s="14"/>
      <c r="P572">
        <v>38</v>
      </c>
    </row>
    <row r="573" spans="1:16" x14ac:dyDescent="0.3">
      <c r="A573">
        <v>572</v>
      </c>
      <c r="B573" s="14" t="s">
        <v>2793</v>
      </c>
      <c r="C573" s="14" t="s">
        <v>547</v>
      </c>
      <c r="D573" s="14" t="s">
        <v>3489</v>
      </c>
      <c r="E573" s="14" t="s">
        <v>1118</v>
      </c>
      <c r="F573" s="14" t="s">
        <v>1484</v>
      </c>
      <c r="G573" s="14" t="s">
        <v>2009</v>
      </c>
      <c r="H573" s="14" t="s">
        <v>704</v>
      </c>
      <c r="I573" t="s">
        <v>1067</v>
      </c>
      <c r="J573" s="14" t="s">
        <v>35</v>
      </c>
      <c r="K573" s="15">
        <v>45413</v>
      </c>
      <c r="L573" s="14" t="s">
        <v>2847</v>
      </c>
      <c r="M573" t="s">
        <v>3524</v>
      </c>
      <c r="N573" s="15"/>
      <c r="O573" s="14" t="s">
        <v>3521</v>
      </c>
    </row>
    <row r="574" spans="1:16" x14ac:dyDescent="0.3">
      <c r="A574">
        <v>573</v>
      </c>
      <c r="B574" s="14" t="s">
        <v>2794</v>
      </c>
      <c r="C574" s="14" t="s">
        <v>548</v>
      </c>
      <c r="D574" s="14" t="s">
        <v>3490</v>
      </c>
      <c r="E574" s="14" t="s">
        <v>1118</v>
      </c>
      <c r="F574" s="14" t="s">
        <v>1242</v>
      </c>
      <c r="G574" s="14" t="s">
        <v>2010</v>
      </c>
      <c r="H574" s="14" t="s">
        <v>704</v>
      </c>
      <c r="I574" t="s">
        <v>1068</v>
      </c>
      <c r="J574" s="14" t="s">
        <v>64</v>
      </c>
      <c r="K574" s="15">
        <v>45412</v>
      </c>
      <c r="L574" s="14" t="s">
        <v>2845</v>
      </c>
      <c r="M574" t="s">
        <v>3524</v>
      </c>
      <c r="N574" s="15"/>
      <c r="O574" s="14" t="s">
        <v>3521</v>
      </c>
    </row>
    <row r="575" spans="1:16" x14ac:dyDescent="0.3">
      <c r="A575">
        <v>574</v>
      </c>
      <c r="B575" s="14" t="s">
        <v>2795</v>
      </c>
      <c r="C575" s="14" t="s">
        <v>549</v>
      </c>
      <c r="D575" s="14" t="s">
        <v>3490</v>
      </c>
      <c r="E575" s="14" t="s">
        <v>1118</v>
      </c>
      <c r="F575" s="14" t="s">
        <v>1485</v>
      </c>
      <c r="G575" s="14" t="s">
        <v>2011</v>
      </c>
      <c r="H575" s="14" t="s">
        <v>704</v>
      </c>
      <c r="I575" t="s">
        <v>1069</v>
      </c>
      <c r="J575" s="14" t="s">
        <v>72</v>
      </c>
      <c r="K575" s="15">
        <v>45412</v>
      </c>
      <c r="L575" s="14" t="s">
        <v>2845</v>
      </c>
      <c r="M575" t="s">
        <v>3500</v>
      </c>
      <c r="N575" s="15">
        <v>45416</v>
      </c>
      <c r="O575" s="14" t="s">
        <v>2852</v>
      </c>
      <c r="P575">
        <v>4</v>
      </c>
    </row>
    <row r="576" spans="1:16" x14ac:dyDescent="0.3">
      <c r="A576">
        <v>575</v>
      </c>
      <c r="B576" s="14" t="s">
        <v>2796</v>
      </c>
      <c r="C576" s="14" t="s">
        <v>550</v>
      </c>
      <c r="D576" s="14" t="s">
        <v>3490</v>
      </c>
      <c r="E576" s="14" t="s">
        <v>1118</v>
      </c>
      <c r="F576" s="14" t="s">
        <v>1486</v>
      </c>
      <c r="G576" s="14" t="s">
        <v>2012</v>
      </c>
      <c r="H576" s="14" t="s">
        <v>2075</v>
      </c>
      <c r="I576" t="s">
        <v>1070</v>
      </c>
      <c r="J576" s="14" t="s">
        <v>36</v>
      </c>
      <c r="K576" s="15">
        <v>45411</v>
      </c>
      <c r="L576" s="14" t="s">
        <v>2848</v>
      </c>
      <c r="M576" t="s">
        <v>3501</v>
      </c>
      <c r="N576" s="15">
        <v>45416</v>
      </c>
      <c r="O576" s="14"/>
      <c r="P576">
        <v>40</v>
      </c>
    </row>
    <row r="577" spans="1:16" x14ac:dyDescent="0.3">
      <c r="A577">
        <v>576</v>
      </c>
      <c r="B577" s="14" t="s">
        <v>2797</v>
      </c>
      <c r="C577" s="14" t="s">
        <v>551</v>
      </c>
      <c r="D577" s="14" t="s">
        <v>3490</v>
      </c>
      <c r="E577" s="14" t="s">
        <v>1118</v>
      </c>
      <c r="F577" s="14" t="s">
        <v>68</v>
      </c>
      <c r="G577" s="14" t="s">
        <v>2013</v>
      </c>
      <c r="H577" s="14" t="s">
        <v>704</v>
      </c>
      <c r="I577" t="s">
        <v>1071</v>
      </c>
      <c r="J577" s="14" t="s">
        <v>30</v>
      </c>
      <c r="K577" s="15">
        <v>45412</v>
      </c>
      <c r="L577" s="14" t="s">
        <v>2848</v>
      </c>
      <c r="M577" t="s">
        <v>3523</v>
      </c>
      <c r="N577" s="15"/>
      <c r="O577" s="14"/>
      <c r="P577">
        <v>39</v>
      </c>
    </row>
    <row r="578" spans="1:16" x14ac:dyDescent="0.3">
      <c r="A578">
        <v>577</v>
      </c>
      <c r="B578" s="14" t="s">
        <v>2798</v>
      </c>
      <c r="C578" s="14" t="s">
        <v>2220</v>
      </c>
      <c r="D578" s="14" t="s">
        <v>3490</v>
      </c>
      <c r="E578" s="14" t="s">
        <v>1118</v>
      </c>
      <c r="F578" s="14" t="s">
        <v>1487</v>
      </c>
      <c r="G578" s="14" t="s">
        <v>2014</v>
      </c>
      <c r="H578" s="14" t="s">
        <v>704</v>
      </c>
      <c r="I578" t="s">
        <v>1072</v>
      </c>
      <c r="J578" s="14" t="s">
        <v>36</v>
      </c>
      <c r="K578" s="15">
        <v>45412</v>
      </c>
      <c r="L578" s="14" t="s">
        <v>2848</v>
      </c>
      <c r="M578" t="s">
        <v>3524</v>
      </c>
      <c r="N578" s="15"/>
      <c r="O578" s="14" t="s">
        <v>3521</v>
      </c>
    </row>
    <row r="579" spans="1:16" x14ac:dyDescent="0.3">
      <c r="A579">
        <v>578</v>
      </c>
      <c r="B579" s="14" t="s">
        <v>2799</v>
      </c>
      <c r="C579" s="14" t="s">
        <v>552</v>
      </c>
      <c r="D579" s="14" t="s">
        <v>3489</v>
      </c>
      <c r="E579" s="14" t="s">
        <v>1118</v>
      </c>
      <c r="F579" s="14" t="s">
        <v>1208</v>
      </c>
      <c r="G579" s="14" t="s">
        <v>2015</v>
      </c>
      <c r="H579" s="14" t="s">
        <v>704</v>
      </c>
      <c r="I579" t="s">
        <v>1073</v>
      </c>
      <c r="J579" s="14" t="s">
        <v>36</v>
      </c>
      <c r="K579" s="15">
        <v>45412</v>
      </c>
      <c r="L579" s="14" t="s">
        <v>2848</v>
      </c>
      <c r="M579" t="s">
        <v>3523</v>
      </c>
      <c r="N579" s="15"/>
      <c r="O579" s="14"/>
      <c r="P579">
        <v>39</v>
      </c>
    </row>
    <row r="580" spans="1:16" x14ac:dyDescent="0.3">
      <c r="A580">
        <v>579</v>
      </c>
      <c r="B580" s="14" t="s">
        <v>2800</v>
      </c>
      <c r="C580" s="14" t="s">
        <v>553</v>
      </c>
      <c r="D580" s="14" t="s">
        <v>3489</v>
      </c>
      <c r="E580" s="14" t="s">
        <v>1118</v>
      </c>
      <c r="F580" s="14" t="s">
        <v>1166</v>
      </c>
      <c r="G580" s="14" t="s">
        <v>2016</v>
      </c>
      <c r="H580" s="14" t="s">
        <v>704</v>
      </c>
      <c r="I580" t="s">
        <v>1074</v>
      </c>
      <c r="J580" s="14" t="s">
        <v>64</v>
      </c>
      <c r="K580" s="15">
        <v>45412</v>
      </c>
      <c r="L580" s="14" t="s">
        <v>3539</v>
      </c>
      <c r="M580" t="s">
        <v>3523</v>
      </c>
      <c r="N580" s="15"/>
      <c r="O580" s="14"/>
      <c r="P580">
        <v>39</v>
      </c>
    </row>
    <row r="581" spans="1:16" x14ac:dyDescent="0.3">
      <c r="A581">
        <v>580</v>
      </c>
      <c r="B581" s="14" t="s">
        <v>2801</v>
      </c>
      <c r="C581" s="14" t="s">
        <v>554</v>
      </c>
      <c r="D581" s="14" t="s">
        <v>3489</v>
      </c>
      <c r="E581" s="14" t="s">
        <v>1118</v>
      </c>
      <c r="F581" s="14" t="s">
        <v>1457</v>
      </c>
      <c r="G581" s="14" t="s">
        <v>1972</v>
      </c>
      <c r="H581" s="14" t="s">
        <v>704</v>
      </c>
      <c r="I581" t="s">
        <v>1027</v>
      </c>
      <c r="J581" s="14" t="s">
        <v>64</v>
      </c>
      <c r="K581" s="15">
        <v>45412</v>
      </c>
      <c r="L581" s="14" t="s">
        <v>2847</v>
      </c>
      <c r="M581" t="s">
        <v>3524</v>
      </c>
      <c r="N581" s="15"/>
      <c r="O581" s="14" t="s">
        <v>3521</v>
      </c>
    </row>
    <row r="582" spans="1:16" x14ac:dyDescent="0.3">
      <c r="A582">
        <v>581</v>
      </c>
      <c r="B582" s="14" t="s">
        <v>2802</v>
      </c>
      <c r="C582" s="14" t="s">
        <v>555</v>
      </c>
      <c r="D582" s="14" t="s">
        <v>3490</v>
      </c>
      <c r="E582" s="14" t="s">
        <v>1118</v>
      </c>
      <c r="F582" s="14" t="s">
        <v>1488</v>
      </c>
      <c r="G582" s="14" t="s">
        <v>2017</v>
      </c>
      <c r="H582" s="14" t="s">
        <v>704</v>
      </c>
      <c r="I582" t="s">
        <v>1075</v>
      </c>
      <c r="J582" s="14" t="s">
        <v>44</v>
      </c>
      <c r="K582" s="15">
        <v>45412</v>
      </c>
      <c r="L582" s="14" t="s">
        <v>2847</v>
      </c>
      <c r="M582" t="s">
        <v>3523</v>
      </c>
      <c r="N582" s="15"/>
      <c r="O582" s="14"/>
      <c r="P582">
        <v>39</v>
      </c>
    </row>
    <row r="583" spans="1:16" x14ac:dyDescent="0.3">
      <c r="A583">
        <v>582</v>
      </c>
      <c r="B583" s="14" t="s">
        <v>2803</v>
      </c>
      <c r="C583" s="14" t="s">
        <v>556</v>
      </c>
      <c r="D583" s="14" t="s">
        <v>3490</v>
      </c>
      <c r="E583" s="14" t="s">
        <v>1118</v>
      </c>
      <c r="F583" s="14" t="s">
        <v>1489</v>
      </c>
      <c r="G583" s="14" t="s">
        <v>2018</v>
      </c>
      <c r="H583" s="14" t="s">
        <v>2075</v>
      </c>
      <c r="I583" t="s">
        <v>1076</v>
      </c>
      <c r="J583" s="14" t="s">
        <v>35</v>
      </c>
      <c r="K583" s="15">
        <v>45414</v>
      </c>
      <c r="L583" s="14" t="s">
        <v>2847</v>
      </c>
      <c r="M583" t="s">
        <v>3524</v>
      </c>
      <c r="N583" s="15"/>
      <c r="O583" s="14"/>
      <c r="P583">
        <v>37</v>
      </c>
    </row>
    <row r="584" spans="1:16" x14ac:dyDescent="0.3">
      <c r="A584">
        <v>583</v>
      </c>
      <c r="B584" s="14" t="s">
        <v>2804</v>
      </c>
      <c r="C584" s="14" t="s">
        <v>557</v>
      </c>
      <c r="D584" s="14" t="s">
        <v>3490</v>
      </c>
      <c r="E584" s="14" t="s">
        <v>1118</v>
      </c>
      <c r="F584" s="14" t="s">
        <v>1490</v>
      </c>
      <c r="G584" s="14" t="s">
        <v>2019</v>
      </c>
      <c r="H584" s="14" t="s">
        <v>704</v>
      </c>
      <c r="I584" t="s">
        <v>1077</v>
      </c>
      <c r="J584" s="14" t="s">
        <v>35</v>
      </c>
      <c r="K584" s="15">
        <v>45414</v>
      </c>
      <c r="L584" s="14" t="s">
        <v>2847</v>
      </c>
      <c r="M584" t="s">
        <v>3523</v>
      </c>
      <c r="N584" s="15"/>
      <c r="O584" s="14"/>
      <c r="P584">
        <v>37</v>
      </c>
    </row>
    <row r="585" spans="1:16" x14ac:dyDescent="0.3">
      <c r="A585">
        <v>584</v>
      </c>
      <c r="B585" s="14" t="s">
        <v>2805</v>
      </c>
      <c r="C585" s="14" t="s">
        <v>558</v>
      </c>
      <c r="D585" s="14" t="s">
        <v>3490</v>
      </c>
      <c r="E585" s="14" t="s">
        <v>1113</v>
      </c>
      <c r="F585" s="14" t="s">
        <v>1491</v>
      </c>
      <c r="G585" s="14" t="s">
        <v>2020</v>
      </c>
      <c r="H585" s="14" t="s">
        <v>704</v>
      </c>
      <c r="I585" t="s">
        <v>1078</v>
      </c>
      <c r="J585" s="14" t="s">
        <v>64</v>
      </c>
      <c r="K585" s="15">
        <v>45414</v>
      </c>
      <c r="L585" s="14" t="s">
        <v>2847</v>
      </c>
      <c r="M585" t="s">
        <v>3523</v>
      </c>
      <c r="N585" s="15"/>
      <c r="O585" s="14"/>
      <c r="P585">
        <v>37</v>
      </c>
    </row>
    <row r="586" spans="1:16" x14ac:dyDescent="0.3">
      <c r="A586">
        <v>585</v>
      </c>
      <c r="B586" s="14" t="s">
        <v>2806</v>
      </c>
      <c r="C586" s="14" t="s">
        <v>559</v>
      </c>
      <c r="D586" s="14" t="s">
        <v>3490</v>
      </c>
      <c r="E586" s="14" t="s">
        <v>1118</v>
      </c>
      <c r="F586" s="14" t="s">
        <v>1492</v>
      </c>
      <c r="G586" s="14" t="s">
        <v>2021</v>
      </c>
      <c r="H586" s="14" t="s">
        <v>704</v>
      </c>
      <c r="I586" t="s">
        <v>1079</v>
      </c>
      <c r="J586" s="14" t="s">
        <v>35</v>
      </c>
      <c r="K586" s="15">
        <v>45415</v>
      </c>
      <c r="L586" s="14" t="s">
        <v>2847</v>
      </c>
      <c r="M586" t="s">
        <v>3523</v>
      </c>
      <c r="N586" s="15"/>
      <c r="O586" s="14"/>
      <c r="P586">
        <v>36</v>
      </c>
    </row>
    <row r="587" spans="1:16" x14ac:dyDescent="0.3">
      <c r="A587">
        <v>586</v>
      </c>
      <c r="B587" s="14" t="s">
        <v>2807</v>
      </c>
      <c r="C587" s="14" t="s">
        <v>560</v>
      </c>
      <c r="D587" s="14" t="s">
        <v>3490</v>
      </c>
      <c r="E587" s="14" t="s">
        <v>1118</v>
      </c>
      <c r="F587" s="14" t="s">
        <v>1493</v>
      </c>
      <c r="G587" s="14" t="s">
        <v>2022</v>
      </c>
      <c r="H587" s="14" t="s">
        <v>704</v>
      </c>
      <c r="I587" t="s">
        <v>1080</v>
      </c>
      <c r="J587" s="14" t="s">
        <v>44</v>
      </c>
      <c r="K587" s="15">
        <v>45415</v>
      </c>
      <c r="L587" s="14" t="s">
        <v>2847</v>
      </c>
      <c r="M587" t="s">
        <v>3524</v>
      </c>
      <c r="N587" s="15"/>
      <c r="O587" s="14"/>
      <c r="P587">
        <v>36</v>
      </c>
    </row>
    <row r="588" spans="1:16" x14ac:dyDescent="0.3">
      <c r="A588">
        <v>587</v>
      </c>
      <c r="B588" s="14" t="s">
        <v>2808</v>
      </c>
      <c r="C588" s="14" t="s">
        <v>561</v>
      </c>
      <c r="D588" s="14" t="s">
        <v>3490</v>
      </c>
      <c r="E588" s="14" t="s">
        <v>1118</v>
      </c>
      <c r="F588" s="14" t="s">
        <v>1494</v>
      </c>
      <c r="G588" s="14" t="s">
        <v>2023</v>
      </c>
      <c r="H588" s="14" t="s">
        <v>704</v>
      </c>
      <c r="I588" t="s">
        <v>1081</v>
      </c>
      <c r="J588" s="14" t="s">
        <v>44</v>
      </c>
      <c r="K588" s="15">
        <v>45415</v>
      </c>
      <c r="L588" s="14" t="s">
        <v>2847</v>
      </c>
      <c r="M588" t="s">
        <v>3524</v>
      </c>
      <c r="N588" s="15"/>
      <c r="O588" s="14"/>
      <c r="P588">
        <v>36</v>
      </c>
    </row>
    <row r="589" spans="1:16" x14ac:dyDescent="0.3">
      <c r="A589">
        <v>588</v>
      </c>
      <c r="B589" s="14" t="s">
        <v>2809</v>
      </c>
      <c r="C589" s="14" t="s">
        <v>562</v>
      </c>
      <c r="D589" s="14" t="s">
        <v>3489</v>
      </c>
      <c r="E589" s="14" t="s">
        <v>1118</v>
      </c>
      <c r="F589" s="14" t="s">
        <v>1495</v>
      </c>
      <c r="G589" s="14" t="s">
        <v>2024</v>
      </c>
      <c r="H589" s="14" t="s">
        <v>704</v>
      </c>
      <c r="I589" t="s">
        <v>1082</v>
      </c>
      <c r="J589" s="14" t="s">
        <v>35</v>
      </c>
      <c r="K589" s="15">
        <v>45415</v>
      </c>
      <c r="L589" s="14" t="s">
        <v>2847</v>
      </c>
      <c r="M589" t="s">
        <v>3523</v>
      </c>
      <c r="N589" s="15"/>
      <c r="O589" s="14"/>
      <c r="P589">
        <v>36</v>
      </c>
    </row>
    <row r="590" spans="1:16" x14ac:dyDescent="0.3">
      <c r="A590">
        <v>589</v>
      </c>
      <c r="B590" s="14" t="s">
        <v>2810</v>
      </c>
      <c r="C590" s="14" t="s">
        <v>563</v>
      </c>
      <c r="D590" s="14" t="s">
        <v>3490</v>
      </c>
      <c r="E590" s="14" t="s">
        <v>1113</v>
      </c>
      <c r="F590" s="14" t="s">
        <v>68</v>
      </c>
      <c r="G590" s="14" t="s">
        <v>2025</v>
      </c>
      <c r="H590" s="14" t="s">
        <v>704</v>
      </c>
      <c r="I590" t="s">
        <v>1083</v>
      </c>
      <c r="J590" s="14" t="s">
        <v>64</v>
      </c>
      <c r="K590" s="15">
        <v>45415</v>
      </c>
      <c r="L590" s="14" t="s">
        <v>2847</v>
      </c>
      <c r="M590" t="s">
        <v>3523</v>
      </c>
      <c r="N590" s="15"/>
      <c r="O590" s="14"/>
      <c r="P590">
        <v>36</v>
      </c>
    </row>
    <row r="591" spans="1:16" x14ac:dyDescent="0.3">
      <c r="A591">
        <v>590</v>
      </c>
      <c r="B591" s="14" t="s">
        <v>2811</v>
      </c>
      <c r="C591" s="14" t="s">
        <v>564</v>
      </c>
      <c r="D591" s="14" t="s">
        <v>3490</v>
      </c>
      <c r="E591" s="14" t="s">
        <v>1118</v>
      </c>
      <c r="F591" s="14" t="s">
        <v>1496</v>
      </c>
      <c r="G591" s="14" t="s">
        <v>2026</v>
      </c>
      <c r="H591" s="14" t="s">
        <v>704</v>
      </c>
      <c r="I591" t="s">
        <v>1084</v>
      </c>
      <c r="J591" s="14" t="s">
        <v>35</v>
      </c>
      <c r="K591" s="15">
        <v>45415</v>
      </c>
      <c r="L591" s="14" t="s">
        <v>2847</v>
      </c>
      <c r="M591" t="s">
        <v>3523</v>
      </c>
      <c r="N591" s="15"/>
      <c r="O591" s="14"/>
      <c r="P591">
        <v>36</v>
      </c>
    </row>
    <row r="592" spans="1:16" x14ac:dyDescent="0.3">
      <c r="A592">
        <v>591</v>
      </c>
      <c r="B592" s="14" t="s">
        <v>2812</v>
      </c>
      <c r="C592" s="14" t="s">
        <v>565</v>
      </c>
      <c r="D592" s="14" t="s">
        <v>3489</v>
      </c>
      <c r="E592" s="14" t="s">
        <v>1118</v>
      </c>
      <c r="F592" s="14" t="s">
        <v>1497</v>
      </c>
      <c r="G592" s="14" t="s">
        <v>1242</v>
      </c>
      <c r="H592" s="14" t="s">
        <v>704</v>
      </c>
      <c r="I592" t="s">
        <v>1085</v>
      </c>
      <c r="J592" s="14" t="s">
        <v>64</v>
      </c>
      <c r="K592" s="15">
        <v>45415</v>
      </c>
      <c r="L592" s="14" t="s">
        <v>2847</v>
      </c>
      <c r="M592" t="s">
        <v>3523</v>
      </c>
      <c r="N592" s="15"/>
      <c r="O592" s="14"/>
      <c r="P592">
        <v>36</v>
      </c>
    </row>
    <row r="593" spans="1:16" x14ac:dyDescent="0.3">
      <c r="A593">
        <v>592</v>
      </c>
      <c r="B593" s="14" t="s">
        <v>2813</v>
      </c>
      <c r="C593" s="14" t="s">
        <v>566</v>
      </c>
      <c r="D593" s="14" t="s">
        <v>3490</v>
      </c>
      <c r="E593" s="14" t="s">
        <v>1118</v>
      </c>
      <c r="F593" s="14" t="s">
        <v>1498</v>
      </c>
      <c r="G593" s="14" t="s">
        <v>2027</v>
      </c>
      <c r="H593" s="14" t="s">
        <v>704</v>
      </c>
      <c r="I593" t="s">
        <v>1086</v>
      </c>
      <c r="J593" s="14" t="s">
        <v>64</v>
      </c>
      <c r="K593" s="15">
        <v>45415</v>
      </c>
      <c r="L593" s="14" t="s">
        <v>2847</v>
      </c>
      <c r="M593" t="s">
        <v>3523</v>
      </c>
      <c r="N593" s="15"/>
      <c r="O593" s="14"/>
      <c r="P593">
        <v>36</v>
      </c>
    </row>
    <row r="594" spans="1:16" x14ac:dyDescent="0.3">
      <c r="A594">
        <v>593</v>
      </c>
      <c r="B594" s="14" t="s">
        <v>2814</v>
      </c>
      <c r="C594" s="14" t="s">
        <v>567</v>
      </c>
      <c r="D594" s="14" t="s">
        <v>3490</v>
      </c>
      <c r="E594" s="14" t="s">
        <v>1118</v>
      </c>
      <c r="F594" s="14" t="s">
        <v>1213</v>
      </c>
      <c r="G594" s="14" t="s">
        <v>2028</v>
      </c>
      <c r="H594" s="14" t="s">
        <v>704</v>
      </c>
      <c r="I594" t="s">
        <v>1087</v>
      </c>
      <c r="J594" s="14" t="s">
        <v>64</v>
      </c>
      <c r="K594" s="15">
        <v>45415</v>
      </c>
      <c r="L594" s="14" t="s">
        <v>2847</v>
      </c>
      <c r="M594" t="s">
        <v>3523</v>
      </c>
      <c r="N594" s="15"/>
      <c r="O594" s="14"/>
      <c r="P594">
        <v>36</v>
      </c>
    </row>
    <row r="595" spans="1:16" x14ac:dyDescent="0.3">
      <c r="A595">
        <v>594</v>
      </c>
      <c r="B595" s="14" t="s">
        <v>2815</v>
      </c>
      <c r="C595" s="14" t="s">
        <v>568</v>
      </c>
      <c r="D595" s="14" t="s">
        <v>3490</v>
      </c>
      <c r="E595" s="14" t="s">
        <v>1118</v>
      </c>
      <c r="F595" s="14" t="s">
        <v>1499</v>
      </c>
      <c r="G595" s="14" t="s">
        <v>2029</v>
      </c>
      <c r="H595" s="14" t="s">
        <v>704</v>
      </c>
      <c r="I595" t="s">
        <v>1088</v>
      </c>
      <c r="J595" s="14" t="s">
        <v>64</v>
      </c>
      <c r="K595" s="15">
        <v>45415</v>
      </c>
      <c r="L595" s="14" t="s">
        <v>2847</v>
      </c>
      <c r="M595" t="s">
        <v>3523</v>
      </c>
      <c r="N595" s="15"/>
      <c r="O595" s="14"/>
      <c r="P595">
        <v>36</v>
      </c>
    </row>
    <row r="596" spans="1:16" x14ac:dyDescent="0.3">
      <c r="A596">
        <v>595</v>
      </c>
      <c r="B596" s="14" t="s">
        <v>2816</v>
      </c>
      <c r="C596" s="14" t="s">
        <v>569</v>
      </c>
      <c r="D596" s="14" t="s">
        <v>3489</v>
      </c>
      <c r="E596" s="14" t="s">
        <v>1118</v>
      </c>
      <c r="F596" s="14" t="s">
        <v>1500</v>
      </c>
      <c r="G596" s="14" t="s">
        <v>2030</v>
      </c>
      <c r="H596" s="14" t="s">
        <v>704</v>
      </c>
      <c r="I596" t="s">
        <v>1089</v>
      </c>
      <c r="J596" s="14" t="s">
        <v>35</v>
      </c>
      <c r="K596" s="15">
        <v>45415</v>
      </c>
      <c r="L596" s="14" t="s">
        <v>3539</v>
      </c>
      <c r="M596" t="s">
        <v>3523</v>
      </c>
      <c r="N596" s="15"/>
      <c r="O596" s="14"/>
      <c r="P596">
        <v>36</v>
      </c>
    </row>
    <row r="597" spans="1:16" x14ac:dyDescent="0.3">
      <c r="A597">
        <v>596</v>
      </c>
      <c r="B597" s="14" t="s">
        <v>2817</v>
      </c>
      <c r="C597" s="14" t="s">
        <v>570</v>
      </c>
      <c r="D597" s="14" t="s">
        <v>3489</v>
      </c>
      <c r="E597" s="14" t="s">
        <v>1118</v>
      </c>
      <c r="F597" s="14" t="s">
        <v>1501</v>
      </c>
      <c r="G597" s="14" t="s">
        <v>2031</v>
      </c>
      <c r="H597" s="14" t="s">
        <v>704</v>
      </c>
      <c r="I597" t="s">
        <v>1090</v>
      </c>
      <c r="J597" s="14" t="s">
        <v>35</v>
      </c>
      <c r="K597" s="15">
        <v>45415</v>
      </c>
      <c r="L597" s="14" t="s">
        <v>3539</v>
      </c>
      <c r="M597" t="s">
        <v>3523</v>
      </c>
      <c r="N597" s="15"/>
      <c r="O597" s="14"/>
      <c r="P597">
        <v>36</v>
      </c>
    </row>
    <row r="598" spans="1:16" x14ac:dyDescent="0.3">
      <c r="A598">
        <v>597</v>
      </c>
      <c r="B598" s="14" t="s">
        <v>2818</v>
      </c>
      <c r="C598" s="14" t="s">
        <v>571</v>
      </c>
      <c r="D598" s="14" t="s">
        <v>3490</v>
      </c>
      <c r="E598" s="14" t="s">
        <v>1113</v>
      </c>
      <c r="F598" s="14" t="s">
        <v>1502</v>
      </c>
      <c r="G598" s="14" t="s">
        <v>2032</v>
      </c>
      <c r="H598" s="14" t="s">
        <v>704</v>
      </c>
      <c r="I598" t="s">
        <v>1091</v>
      </c>
      <c r="J598" s="14" t="s">
        <v>64</v>
      </c>
      <c r="K598" s="15">
        <v>45415</v>
      </c>
      <c r="L598" s="14" t="s">
        <v>3539</v>
      </c>
      <c r="M598" t="s">
        <v>3523</v>
      </c>
      <c r="N598" s="15"/>
      <c r="O598" s="14"/>
      <c r="P598">
        <v>36</v>
      </c>
    </row>
    <row r="599" spans="1:16" x14ac:dyDescent="0.3">
      <c r="A599">
        <v>598</v>
      </c>
      <c r="B599" s="14" t="s">
        <v>2819</v>
      </c>
      <c r="C599" s="14" t="s">
        <v>572</v>
      </c>
      <c r="D599" s="14" t="s">
        <v>3489</v>
      </c>
      <c r="E599" s="14" t="s">
        <v>1118</v>
      </c>
      <c r="F599" s="14" t="s">
        <v>1503</v>
      </c>
      <c r="G599" s="14" t="s">
        <v>2033</v>
      </c>
      <c r="H599" s="14" t="s">
        <v>704</v>
      </c>
      <c r="I599" t="s">
        <v>1092</v>
      </c>
      <c r="J599" s="14" t="s">
        <v>35</v>
      </c>
      <c r="K599" s="15">
        <v>45415</v>
      </c>
      <c r="L599" s="14" t="s">
        <v>3539</v>
      </c>
      <c r="M599" t="s">
        <v>3523</v>
      </c>
      <c r="N599" s="15"/>
      <c r="O599" s="14"/>
      <c r="P599">
        <v>36</v>
      </c>
    </row>
    <row r="600" spans="1:16" x14ac:dyDescent="0.3">
      <c r="A600">
        <v>599</v>
      </c>
      <c r="B600" s="14" t="s">
        <v>2820</v>
      </c>
      <c r="C600" s="14" t="s">
        <v>573</v>
      </c>
      <c r="D600" s="14" t="s">
        <v>3489</v>
      </c>
      <c r="E600" s="14" t="s">
        <v>1118</v>
      </c>
      <c r="F600" s="14" t="s">
        <v>1504</v>
      </c>
      <c r="G600" s="14" t="s">
        <v>2034</v>
      </c>
      <c r="H600" s="14" t="s">
        <v>704</v>
      </c>
      <c r="I600" t="s">
        <v>1093</v>
      </c>
      <c r="J600" s="14" t="s">
        <v>72</v>
      </c>
      <c r="K600" s="15">
        <v>45415</v>
      </c>
      <c r="L600" s="14" t="s">
        <v>3539</v>
      </c>
      <c r="M600" t="s">
        <v>3523</v>
      </c>
      <c r="N600" s="15"/>
      <c r="O600" s="14"/>
      <c r="P600">
        <v>36</v>
      </c>
    </row>
    <row r="601" spans="1:16" x14ac:dyDescent="0.3">
      <c r="A601">
        <v>600</v>
      </c>
      <c r="B601" s="14" t="s">
        <v>2821</v>
      </c>
      <c r="C601" s="14" t="s">
        <v>574</v>
      </c>
      <c r="D601" s="14" t="s">
        <v>3489</v>
      </c>
      <c r="E601" s="14" t="s">
        <v>1118</v>
      </c>
      <c r="F601" s="14" t="s">
        <v>1505</v>
      </c>
      <c r="G601" s="14" t="s">
        <v>2035</v>
      </c>
      <c r="H601" s="14" t="s">
        <v>704</v>
      </c>
      <c r="I601" t="s">
        <v>1094</v>
      </c>
      <c r="J601" s="14" t="s">
        <v>36</v>
      </c>
      <c r="K601" s="15">
        <v>45415</v>
      </c>
      <c r="L601" s="14" t="s">
        <v>3539</v>
      </c>
      <c r="M601" t="s">
        <v>3523</v>
      </c>
      <c r="N601" s="15"/>
      <c r="O601" s="14"/>
      <c r="P601">
        <v>36</v>
      </c>
    </row>
    <row r="602" spans="1:16" x14ac:dyDescent="0.3">
      <c r="A602">
        <v>601</v>
      </c>
      <c r="B602" s="14" t="s">
        <v>2822</v>
      </c>
      <c r="C602" s="14" t="s">
        <v>575</v>
      </c>
      <c r="D602" s="14" t="s">
        <v>3489</v>
      </c>
      <c r="E602" s="14" t="s">
        <v>1118</v>
      </c>
      <c r="F602" s="14" t="s">
        <v>1504</v>
      </c>
      <c r="G602" s="14" t="s">
        <v>1763</v>
      </c>
      <c r="H602" s="14" t="s">
        <v>704</v>
      </c>
      <c r="I602" t="s">
        <v>1095</v>
      </c>
      <c r="J602" s="14" t="s">
        <v>72</v>
      </c>
      <c r="K602" s="15">
        <v>45415</v>
      </c>
      <c r="L602" s="14" t="s">
        <v>3539</v>
      </c>
      <c r="M602" t="s">
        <v>3523</v>
      </c>
      <c r="N602" s="15"/>
      <c r="O602" s="14"/>
      <c r="P602">
        <v>36</v>
      </c>
    </row>
    <row r="603" spans="1:16" x14ac:dyDescent="0.3">
      <c r="A603">
        <v>602</v>
      </c>
      <c r="B603" s="14" t="s">
        <v>2823</v>
      </c>
      <c r="C603" s="14" t="s">
        <v>576</v>
      </c>
      <c r="D603" s="14" t="s">
        <v>3490</v>
      </c>
      <c r="E603" s="14" t="s">
        <v>1118</v>
      </c>
      <c r="F603" s="14" t="s">
        <v>1506</v>
      </c>
      <c r="G603" s="14" t="s">
        <v>2036</v>
      </c>
      <c r="H603" s="14" t="s">
        <v>704</v>
      </c>
      <c r="I603" t="s">
        <v>1096</v>
      </c>
      <c r="J603" s="14" t="s">
        <v>72</v>
      </c>
      <c r="K603" s="15">
        <v>45415</v>
      </c>
      <c r="L603" s="14" t="s">
        <v>3539</v>
      </c>
      <c r="M603" t="s">
        <v>3523</v>
      </c>
      <c r="N603" s="15"/>
      <c r="O603" s="14"/>
      <c r="P603">
        <v>36</v>
      </c>
    </row>
    <row r="604" spans="1:16" x14ac:dyDescent="0.3">
      <c r="A604">
        <v>603</v>
      </c>
      <c r="B604" s="14" t="s">
        <v>2824</v>
      </c>
      <c r="C604" s="14" t="s">
        <v>577</v>
      </c>
      <c r="D604" s="14" t="s">
        <v>3490</v>
      </c>
      <c r="E604" s="14" t="s">
        <v>1113</v>
      </c>
      <c r="F604" s="14" t="s">
        <v>1217</v>
      </c>
      <c r="G604" s="14" t="s">
        <v>2037</v>
      </c>
      <c r="H604" s="14" t="s">
        <v>704</v>
      </c>
      <c r="I604" t="s">
        <v>1097</v>
      </c>
      <c r="J604" s="14" t="s">
        <v>30</v>
      </c>
      <c r="K604" s="15">
        <v>45414</v>
      </c>
      <c r="L604" s="14" t="s">
        <v>2849</v>
      </c>
      <c r="M604" t="s">
        <v>3523</v>
      </c>
      <c r="N604" s="15"/>
      <c r="O604" s="14"/>
      <c r="P604">
        <v>37</v>
      </c>
    </row>
    <row r="605" spans="1:16" x14ac:dyDescent="0.3">
      <c r="A605">
        <v>604</v>
      </c>
      <c r="B605" s="14" t="s">
        <v>2825</v>
      </c>
      <c r="C605" s="14" t="s">
        <v>578</v>
      </c>
      <c r="D605" s="14" t="s">
        <v>3490</v>
      </c>
      <c r="E605" s="14" t="s">
        <v>1113</v>
      </c>
      <c r="F605" s="14" t="s">
        <v>1507</v>
      </c>
      <c r="G605" s="14" t="s">
        <v>2038</v>
      </c>
      <c r="H605" s="14" t="s">
        <v>704</v>
      </c>
      <c r="I605" t="s">
        <v>1098</v>
      </c>
      <c r="J605" s="14" t="s">
        <v>64</v>
      </c>
      <c r="K605" s="15">
        <v>45415</v>
      </c>
      <c r="L605" s="14" t="s">
        <v>2845</v>
      </c>
      <c r="M605" t="s">
        <v>3523</v>
      </c>
      <c r="N605" s="15"/>
      <c r="O605" s="14"/>
      <c r="P605">
        <v>36</v>
      </c>
    </row>
    <row r="606" spans="1:16" x14ac:dyDescent="0.3">
      <c r="A606">
        <v>605</v>
      </c>
      <c r="B606" s="14" t="s">
        <v>2826</v>
      </c>
      <c r="C606" s="14" t="s">
        <v>579</v>
      </c>
      <c r="D606" s="14" t="s">
        <v>3490</v>
      </c>
      <c r="E606" s="14" t="s">
        <v>1118</v>
      </c>
      <c r="F606" s="14" t="s">
        <v>68</v>
      </c>
      <c r="G606" s="14" t="s">
        <v>2039</v>
      </c>
      <c r="H606" s="14" t="s">
        <v>704</v>
      </c>
      <c r="I606" t="s">
        <v>1099</v>
      </c>
      <c r="J606" s="14" t="s">
        <v>30</v>
      </c>
      <c r="K606" s="15">
        <v>45416</v>
      </c>
      <c r="L606" s="14" t="s">
        <v>2848</v>
      </c>
      <c r="M606" t="s">
        <v>3523</v>
      </c>
      <c r="N606" s="15"/>
      <c r="O606" s="14"/>
      <c r="P606">
        <v>35</v>
      </c>
    </row>
    <row r="607" spans="1:16" x14ac:dyDescent="0.3">
      <c r="A607">
        <v>606</v>
      </c>
      <c r="B607" s="14" t="s">
        <v>2827</v>
      </c>
      <c r="C607" s="14" t="s">
        <v>580</v>
      </c>
      <c r="D607" s="14" t="s">
        <v>3489</v>
      </c>
      <c r="E607" s="14" t="s">
        <v>1118</v>
      </c>
      <c r="F607" s="14" t="s">
        <v>1508</v>
      </c>
      <c r="G607" s="14" t="s">
        <v>2040</v>
      </c>
      <c r="H607" s="14" t="s">
        <v>704</v>
      </c>
      <c r="I607" t="s">
        <v>1100</v>
      </c>
      <c r="J607" s="14" t="s">
        <v>72</v>
      </c>
      <c r="K607" s="15">
        <v>45416</v>
      </c>
      <c r="L607" s="14" t="s">
        <v>3539</v>
      </c>
      <c r="M607" t="s">
        <v>3523</v>
      </c>
      <c r="N607" s="15"/>
      <c r="O607" s="14"/>
      <c r="P607">
        <v>35</v>
      </c>
    </row>
    <row r="608" spans="1:16" x14ac:dyDescent="0.3">
      <c r="A608">
        <v>607</v>
      </c>
      <c r="B608" s="14" t="s">
        <v>2828</v>
      </c>
      <c r="C608" s="14" t="s">
        <v>581</v>
      </c>
      <c r="D608" s="14" t="s">
        <v>3490</v>
      </c>
      <c r="E608" s="14" t="s">
        <v>1113</v>
      </c>
      <c r="F608" s="14" t="s">
        <v>1509</v>
      </c>
      <c r="G608" s="14" t="s">
        <v>2041</v>
      </c>
      <c r="H608" s="14" t="s">
        <v>2075</v>
      </c>
      <c r="I608" t="s">
        <v>1101</v>
      </c>
      <c r="J608" s="14" t="s">
        <v>35</v>
      </c>
      <c r="K608" s="15">
        <v>45416</v>
      </c>
      <c r="L608" s="14" t="s">
        <v>2847</v>
      </c>
      <c r="M608" t="s">
        <v>3524</v>
      </c>
      <c r="N608" s="15"/>
      <c r="O608" s="14"/>
      <c r="P608">
        <v>35</v>
      </c>
    </row>
    <row r="609" spans="1:16" x14ac:dyDescent="0.3">
      <c r="A609">
        <v>608</v>
      </c>
      <c r="B609" s="14" t="s">
        <v>2829</v>
      </c>
      <c r="C609" s="14" t="s">
        <v>582</v>
      </c>
      <c r="D609" s="14" t="s">
        <v>3490</v>
      </c>
      <c r="E609" s="14" t="s">
        <v>1118</v>
      </c>
      <c r="F609" s="14" t="s">
        <v>1510</v>
      </c>
      <c r="G609" s="14" t="s">
        <v>2042</v>
      </c>
      <c r="H609" s="14" t="s">
        <v>704</v>
      </c>
      <c r="I609" t="s">
        <v>1102</v>
      </c>
      <c r="J609" s="14" t="s">
        <v>72</v>
      </c>
      <c r="K609" s="15">
        <v>45418</v>
      </c>
      <c r="L609" s="14" t="s">
        <v>3539</v>
      </c>
      <c r="M609" t="s">
        <v>3523</v>
      </c>
      <c r="N609" s="15"/>
      <c r="O609" s="14"/>
      <c r="P609">
        <v>33</v>
      </c>
    </row>
    <row r="610" spans="1:16" x14ac:dyDescent="0.3">
      <c r="A610">
        <v>609</v>
      </c>
      <c r="B610" s="14" t="s">
        <v>2830</v>
      </c>
      <c r="C610" s="14" t="s">
        <v>583</v>
      </c>
      <c r="D610" s="14" t="s">
        <v>3489</v>
      </c>
      <c r="E610" s="14" t="s">
        <v>1118</v>
      </c>
      <c r="F610" s="14" t="s">
        <v>704</v>
      </c>
      <c r="G610" s="14" t="s">
        <v>2043</v>
      </c>
      <c r="H610" s="14" t="s">
        <v>704</v>
      </c>
      <c r="I610" t="s">
        <v>1103</v>
      </c>
      <c r="J610" s="14" t="s">
        <v>72</v>
      </c>
      <c r="K610" s="15">
        <v>45416</v>
      </c>
      <c r="L610" s="14" t="s">
        <v>3539</v>
      </c>
      <c r="M610" t="s">
        <v>3523</v>
      </c>
      <c r="N610" s="15"/>
      <c r="O610" s="14"/>
      <c r="P610">
        <v>35</v>
      </c>
    </row>
    <row r="611" spans="1:16" x14ac:dyDescent="0.3">
      <c r="A611">
        <v>610</v>
      </c>
      <c r="B611" s="14" t="s">
        <v>2831</v>
      </c>
      <c r="C611" s="14" t="s">
        <v>584</v>
      </c>
      <c r="D611" s="14" t="s">
        <v>3490</v>
      </c>
      <c r="E611" s="14" t="s">
        <v>1115</v>
      </c>
      <c r="F611" s="14" t="s">
        <v>704</v>
      </c>
      <c r="G611" s="14" t="s">
        <v>704</v>
      </c>
      <c r="H611" s="14" t="s">
        <v>704</v>
      </c>
      <c r="I611" t="s">
        <v>1104</v>
      </c>
      <c r="J611" s="14" t="s">
        <v>35</v>
      </c>
      <c r="K611" s="15">
        <v>45417</v>
      </c>
      <c r="L611" s="14" t="s">
        <v>3539</v>
      </c>
      <c r="M611" t="s">
        <v>3523</v>
      </c>
      <c r="N611" s="15"/>
      <c r="O611" s="14"/>
      <c r="P611">
        <v>34</v>
      </c>
    </row>
    <row r="612" spans="1:16" x14ac:dyDescent="0.3">
      <c r="A612">
        <v>611</v>
      </c>
      <c r="B612" s="14" t="s">
        <v>2832</v>
      </c>
      <c r="C612" s="14" t="s">
        <v>2221</v>
      </c>
      <c r="D612" s="14" t="s">
        <v>3489</v>
      </c>
      <c r="E612" s="14" t="s">
        <v>1118</v>
      </c>
      <c r="F612" s="14" t="s">
        <v>1414</v>
      </c>
      <c r="G612" s="14" t="s">
        <v>2044</v>
      </c>
      <c r="H612" s="14" t="s">
        <v>704</v>
      </c>
      <c r="I612" t="s">
        <v>1105</v>
      </c>
      <c r="J612" s="14" t="s">
        <v>35</v>
      </c>
      <c r="K612" s="15">
        <v>45417</v>
      </c>
      <c r="L612" s="14" t="s">
        <v>3539</v>
      </c>
      <c r="M612" t="s">
        <v>3523</v>
      </c>
      <c r="N612" s="15"/>
      <c r="O612" s="14"/>
      <c r="P612">
        <v>34</v>
      </c>
    </row>
    <row r="613" spans="1:16" x14ac:dyDescent="0.3">
      <c r="A613">
        <v>612</v>
      </c>
      <c r="B613" s="14" t="s">
        <v>2833</v>
      </c>
      <c r="C613" s="14" t="s">
        <v>585</v>
      </c>
      <c r="D613" s="14" t="s">
        <v>3490</v>
      </c>
      <c r="E613" s="14" t="s">
        <v>1118</v>
      </c>
      <c r="F613" s="14" t="s">
        <v>1504</v>
      </c>
      <c r="G613" s="14" t="s">
        <v>2045</v>
      </c>
      <c r="H613" s="14" t="s">
        <v>704</v>
      </c>
      <c r="I613" t="s">
        <v>1106</v>
      </c>
      <c r="J613" s="14" t="s">
        <v>72</v>
      </c>
      <c r="K613" s="15">
        <v>45417</v>
      </c>
      <c r="L613" s="14" t="s">
        <v>3539</v>
      </c>
      <c r="M613" t="s">
        <v>3523</v>
      </c>
      <c r="N613" s="15"/>
      <c r="O613" s="14"/>
      <c r="P613">
        <v>34</v>
      </c>
    </row>
    <row r="614" spans="1:16" x14ac:dyDescent="0.3">
      <c r="A614">
        <v>613</v>
      </c>
      <c r="B614" s="14" t="s">
        <v>2834</v>
      </c>
      <c r="C614" s="14" t="s">
        <v>586</v>
      </c>
      <c r="D614" s="14" t="s">
        <v>3489</v>
      </c>
      <c r="E614" s="14" t="s">
        <v>1115</v>
      </c>
      <c r="F614" s="14" t="s">
        <v>704</v>
      </c>
      <c r="G614" s="14" t="s">
        <v>704</v>
      </c>
      <c r="H614" s="14" t="s">
        <v>704</v>
      </c>
      <c r="I614" t="s">
        <v>1107</v>
      </c>
      <c r="J614" s="14" t="s">
        <v>35</v>
      </c>
      <c r="K614" s="15">
        <v>45417</v>
      </c>
      <c r="L614" s="14" t="s">
        <v>3539</v>
      </c>
      <c r="M614" t="s">
        <v>3523</v>
      </c>
      <c r="N614" s="15"/>
      <c r="O614" s="14"/>
      <c r="P614">
        <v>34</v>
      </c>
    </row>
    <row r="615" spans="1:16" x14ac:dyDescent="0.3">
      <c r="A615">
        <v>614</v>
      </c>
      <c r="B615" s="14" t="s">
        <v>2835</v>
      </c>
      <c r="C615" s="14" t="s">
        <v>587</v>
      </c>
      <c r="D615" s="14" t="s">
        <v>3490</v>
      </c>
      <c r="E615" s="14" t="s">
        <v>1114</v>
      </c>
      <c r="F615" s="14" t="s">
        <v>1511</v>
      </c>
      <c r="G615" s="14" t="s">
        <v>2046</v>
      </c>
      <c r="H615" s="14" t="s">
        <v>704</v>
      </c>
      <c r="I615" t="s">
        <v>1108</v>
      </c>
      <c r="J615" s="14" t="s">
        <v>72</v>
      </c>
      <c r="K615" s="15">
        <v>45418</v>
      </c>
      <c r="L615" s="14" t="s">
        <v>3539</v>
      </c>
      <c r="M615" t="s">
        <v>3523</v>
      </c>
      <c r="N615" s="15"/>
      <c r="O615" s="14"/>
      <c r="P615">
        <v>33</v>
      </c>
    </row>
    <row r="616" spans="1:16" x14ac:dyDescent="0.3">
      <c r="A616">
        <v>615</v>
      </c>
      <c r="B616" s="14" t="s">
        <v>2836</v>
      </c>
      <c r="C616" s="14" t="s">
        <v>588</v>
      </c>
      <c r="D616" s="14" t="s">
        <v>3490</v>
      </c>
      <c r="E616" s="14" t="s">
        <v>1118</v>
      </c>
      <c r="F616" s="14" t="s">
        <v>1512</v>
      </c>
      <c r="G616" s="14" t="s">
        <v>2047</v>
      </c>
      <c r="H616" s="14" t="s">
        <v>704</v>
      </c>
      <c r="I616" t="s">
        <v>1109</v>
      </c>
      <c r="J616" s="14" t="s">
        <v>72</v>
      </c>
      <c r="K616" s="15">
        <v>45418</v>
      </c>
      <c r="L616" s="14" t="s">
        <v>3539</v>
      </c>
      <c r="M616" t="s">
        <v>3523</v>
      </c>
      <c r="N616" s="15"/>
      <c r="O616" s="14"/>
      <c r="P616">
        <v>33</v>
      </c>
    </row>
    <row r="617" spans="1:16" x14ac:dyDescent="0.3">
      <c r="A617">
        <v>616</v>
      </c>
      <c r="B617" s="14" t="s">
        <v>2837</v>
      </c>
      <c r="C617" s="14" t="s">
        <v>589</v>
      </c>
      <c r="D617" s="14" t="s">
        <v>3490</v>
      </c>
      <c r="E617" s="14" t="s">
        <v>1118</v>
      </c>
      <c r="F617" s="14" t="s">
        <v>1229</v>
      </c>
      <c r="G617" s="14" t="s">
        <v>2048</v>
      </c>
      <c r="H617" s="14" t="s">
        <v>704</v>
      </c>
      <c r="I617" t="s">
        <v>1110</v>
      </c>
      <c r="J617" s="14" t="s">
        <v>35</v>
      </c>
      <c r="K617" s="15">
        <v>45418</v>
      </c>
      <c r="L617" s="14" t="s">
        <v>3539</v>
      </c>
      <c r="M617" t="s">
        <v>3523</v>
      </c>
      <c r="N617" s="15"/>
      <c r="O617" s="14"/>
      <c r="P617">
        <v>33</v>
      </c>
    </row>
    <row r="618" spans="1:16" x14ac:dyDescent="0.3">
      <c r="A618">
        <v>617</v>
      </c>
      <c r="B618" s="14" t="s">
        <v>2838</v>
      </c>
      <c r="C618" s="14" t="s">
        <v>474</v>
      </c>
      <c r="D618" s="14" t="s">
        <v>3490</v>
      </c>
      <c r="E618" s="14" t="s">
        <v>1113</v>
      </c>
      <c r="F618" s="14" t="s">
        <v>1513</v>
      </c>
      <c r="G618" s="14" t="s">
        <v>1937</v>
      </c>
      <c r="H618" s="14" t="s">
        <v>2088</v>
      </c>
      <c r="I618" t="s">
        <v>994</v>
      </c>
      <c r="J618" s="14" t="s">
        <v>30</v>
      </c>
      <c r="K618" s="15">
        <v>45413</v>
      </c>
      <c r="L618" s="14" t="s">
        <v>3539</v>
      </c>
      <c r="M618" t="s">
        <v>3523</v>
      </c>
      <c r="N618" s="15"/>
      <c r="O618" s="14"/>
      <c r="P618">
        <v>38</v>
      </c>
    </row>
    <row r="619" spans="1:16" x14ac:dyDescent="0.3">
      <c r="A619">
        <v>618</v>
      </c>
      <c r="B619" s="14" t="s">
        <v>2839</v>
      </c>
      <c r="C619" s="14" t="s">
        <v>590</v>
      </c>
      <c r="D619" s="14" t="s">
        <v>3490</v>
      </c>
      <c r="E619" s="14" t="s">
        <v>1113</v>
      </c>
      <c r="F619" s="14" t="s">
        <v>1514</v>
      </c>
      <c r="G619" s="14" t="s">
        <v>2049</v>
      </c>
      <c r="H619" s="14" t="s">
        <v>704</v>
      </c>
      <c r="I619" t="s">
        <v>1111</v>
      </c>
      <c r="J619" s="14" t="s">
        <v>30</v>
      </c>
      <c r="K619" s="15">
        <v>45416</v>
      </c>
      <c r="L619" s="14" t="s">
        <v>2848</v>
      </c>
      <c r="M619" t="s">
        <v>3523</v>
      </c>
      <c r="N619" s="15"/>
      <c r="O619" s="14"/>
      <c r="P619">
        <v>35</v>
      </c>
    </row>
    <row r="620" spans="1:16" x14ac:dyDescent="0.3">
      <c r="A620">
        <v>619</v>
      </c>
      <c r="B620" s="14" t="s">
        <v>2840</v>
      </c>
      <c r="C620" s="14" t="s">
        <v>591</v>
      </c>
      <c r="D620" s="14" t="s">
        <v>3490</v>
      </c>
      <c r="E620" s="14" t="s">
        <v>1115</v>
      </c>
      <c r="F620" s="14" t="s">
        <v>1515</v>
      </c>
      <c r="G620" s="14" t="s">
        <v>2050</v>
      </c>
      <c r="H620" s="14" t="s">
        <v>704</v>
      </c>
      <c r="I620" t="s">
        <v>1112</v>
      </c>
      <c r="J620" s="14" t="s">
        <v>64</v>
      </c>
      <c r="K620" s="15">
        <v>45418</v>
      </c>
      <c r="L620" s="14" t="s">
        <v>2847</v>
      </c>
      <c r="M620" t="s">
        <v>3523</v>
      </c>
      <c r="N620" s="15"/>
      <c r="O620" s="14"/>
      <c r="P620">
        <v>33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27CFA-74EE-4B09-BBE6-F6037211ED04}">
  <sheetPr codeName="shPost_Data"/>
  <dimension ref="A1:M53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" sqref="D1"/>
    </sheetView>
  </sheetViews>
  <sheetFormatPr defaultRowHeight="14" x14ac:dyDescent="0.3"/>
  <cols>
    <col min="1" max="1" width="9.796875" style="1" customWidth="1"/>
    <col min="2" max="2" width="30.796875" style="1" customWidth="1"/>
    <col min="3" max="3" width="22.3984375" style="1" bestFit="1" customWidth="1"/>
    <col min="4" max="4" width="25.59765625" style="1" bestFit="1" customWidth="1"/>
    <col min="5" max="5" width="15.8984375" style="1" bestFit="1" customWidth="1"/>
    <col min="6" max="6" width="22.796875" style="1" bestFit="1" customWidth="1"/>
    <col min="7" max="7" width="12.69921875" style="2" customWidth="1"/>
    <col min="8" max="8" width="10.796875" style="8" customWidth="1"/>
    <col min="9" max="9" width="13.19921875" style="3" customWidth="1"/>
    <col min="10" max="10" width="12.3984375" style="2" customWidth="1"/>
    <col min="11" max="11" width="15.59765625" style="1" customWidth="1"/>
    <col min="12" max="16384" width="8.796875" style="1"/>
  </cols>
  <sheetData>
    <row r="1" spans="1:13" s="10" customFormat="1" ht="21" customHeight="1" x14ac:dyDescent="0.3">
      <c r="A1" s="10" t="s">
        <v>3478</v>
      </c>
      <c r="B1" s="10" t="s">
        <v>3479</v>
      </c>
      <c r="C1" s="10" t="s">
        <v>3480</v>
      </c>
      <c r="D1" s="10" t="s">
        <v>3481</v>
      </c>
      <c r="E1" s="10" t="s">
        <v>3482</v>
      </c>
      <c r="F1" s="10" t="s">
        <v>3483</v>
      </c>
      <c r="G1" s="11" t="s">
        <v>3484</v>
      </c>
      <c r="H1" s="12" t="s">
        <v>3476</v>
      </c>
      <c r="I1" s="10" t="s">
        <v>3485</v>
      </c>
      <c r="J1" s="11" t="s">
        <v>3486</v>
      </c>
      <c r="K1" s="7" t="s">
        <v>3550</v>
      </c>
      <c r="M1" s="13"/>
    </row>
    <row r="2" spans="1:13" x14ac:dyDescent="0.3">
      <c r="A2" s="1" t="s">
        <v>76</v>
      </c>
      <c r="B2" s="1" t="s">
        <v>0</v>
      </c>
      <c r="C2" s="1" t="s">
        <v>1</v>
      </c>
      <c r="D2" s="1" t="s">
        <v>2</v>
      </c>
      <c r="E2" s="1" t="s">
        <v>4</v>
      </c>
      <c r="F2" s="1" t="s">
        <v>3</v>
      </c>
      <c r="G2" s="2">
        <v>45292</v>
      </c>
      <c r="I2" s="3" t="s">
        <v>74</v>
      </c>
      <c r="J2" s="2">
        <v>45308</v>
      </c>
      <c r="K2" s="3"/>
    </row>
    <row r="3" spans="1:13" x14ac:dyDescent="0.3">
      <c r="A3" s="1" t="s">
        <v>77</v>
      </c>
      <c r="B3" s="1" t="s">
        <v>5</v>
      </c>
      <c r="C3" s="1" t="s">
        <v>6</v>
      </c>
      <c r="D3" s="1" t="s">
        <v>7</v>
      </c>
      <c r="E3" s="1" t="s">
        <v>4</v>
      </c>
      <c r="F3" s="1" t="s">
        <v>8</v>
      </c>
      <c r="G3" s="2">
        <v>45200</v>
      </c>
      <c r="I3" s="3" t="s">
        <v>75</v>
      </c>
      <c r="J3" s="2">
        <v>45323</v>
      </c>
      <c r="K3" s="3"/>
    </row>
    <row r="4" spans="1:13" x14ac:dyDescent="0.3">
      <c r="A4" s="1" t="s">
        <v>78</v>
      </c>
      <c r="B4" s="1" t="s">
        <v>9</v>
      </c>
      <c r="C4" s="1" t="s">
        <v>10</v>
      </c>
      <c r="D4" s="1" t="s">
        <v>2</v>
      </c>
      <c r="E4" s="1" t="s">
        <v>4</v>
      </c>
      <c r="F4" s="1" t="s">
        <v>3</v>
      </c>
      <c r="G4" s="2">
        <v>45200</v>
      </c>
      <c r="I4" s="3" t="s">
        <v>75</v>
      </c>
      <c r="J4" s="2">
        <v>45323</v>
      </c>
      <c r="K4" s="3"/>
    </row>
    <row r="5" spans="1:13" x14ac:dyDescent="0.3">
      <c r="A5" s="1" t="s">
        <v>79</v>
      </c>
      <c r="B5" s="1" t="s">
        <v>9</v>
      </c>
      <c r="C5" s="1" t="s">
        <v>10</v>
      </c>
      <c r="D5" s="1" t="s">
        <v>2</v>
      </c>
      <c r="E5" s="1" t="s">
        <v>4</v>
      </c>
      <c r="F5" s="1" t="s">
        <v>3</v>
      </c>
      <c r="G5" s="2">
        <v>45200</v>
      </c>
      <c r="I5" s="3" t="s">
        <v>75</v>
      </c>
      <c r="J5" s="2">
        <v>45323</v>
      </c>
      <c r="K5" s="3"/>
    </row>
    <row r="6" spans="1:13" x14ac:dyDescent="0.3">
      <c r="A6" s="1" t="s">
        <v>80</v>
      </c>
      <c r="B6" s="1" t="s">
        <v>9</v>
      </c>
      <c r="C6" s="1" t="s">
        <v>10</v>
      </c>
      <c r="D6" s="1" t="s">
        <v>2</v>
      </c>
      <c r="E6" s="1" t="s">
        <v>4</v>
      </c>
      <c r="F6" s="1" t="s">
        <v>3</v>
      </c>
      <c r="G6" s="2">
        <v>45200</v>
      </c>
      <c r="I6" s="3" t="s">
        <v>75</v>
      </c>
      <c r="J6" s="2">
        <v>45323</v>
      </c>
      <c r="K6" s="3"/>
    </row>
    <row r="7" spans="1:13" x14ac:dyDescent="0.3">
      <c r="A7" s="1" t="s">
        <v>81</v>
      </c>
      <c r="B7" s="1" t="s">
        <v>11</v>
      </c>
      <c r="C7" s="1" t="s">
        <v>12</v>
      </c>
      <c r="D7" s="1" t="s">
        <v>12</v>
      </c>
      <c r="E7" s="1" t="s">
        <v>14</v>
      </c>
      <c r="F7" s="1" t="s">
        <v>13</v>
      </c>
      <c r="G7" s="2">
        <v>45200</v>
      </c>
      <c r="I7" s="3" t="s">
        <v>75</v>
      </c>
      <c r="J7" s="2">
        <v>45323</v>
      </c>
      <c r="K7" s="3"/>
    </row>
    <row r="8" spans="1:13" x14ac:dyDescent="0.3">
      <c r="A8" s="1" t="s">
        <v>82</v>
      </c>
      <c r="B8" s="1" t="s">
        <v>11</v>
      </c>
      <c r="C8" s="1" t="s">
        <v>12</v>
      </c>
      <c r="D8" s="1" t="s">
        <v>12</v>
      </c>
      <c r="E8" s="1" t="s">
        <v>14</v>
      </c>
      <c r="F8" s="1" t="s">
        <v>13</v>
      </c>
      <c r="G8" s="2">
        <v>45200</v>
      </c>
      <c r="I8" s="3" t="s">
        <v>75</v>
      </c>
      <c r="J8" s="2">
        <v>45323</v>
      </c>
      <c r="K8" s="3"/>
    </row>
    <row r="9" spans="1:13" x14ac:dyDescent="0.3">
      <c r="A9" s="1" t="s">
        <v>83</v>
      </c>
      <c r="B9" s="1" t="s">
        <v>11</v>
      </c>
      <c r="C9" s="1" t="s">
        <v>12</v>
      </c>
      <c r="D9" s="1" t="s">
        <v>12</v>
      </c>
      <c r="E9" s="1" t="s">
        <v>14</v>
      </c>
      <c r="F9" s="1" t="s">
        <v>13</v>
      </c>
      <c r="G9" s="2">
        <v>45200</v>
      </c>
      <c r="I9" s="3" t="s">
        <v>75</v>
      </c>
      <c r="J9" s="2">
        <v>45323</v>
      </c>
      <c r="K9" s="3"/>
    </row>
    <row r="10" spans="1:13" x14ac:dyDescent="0.3">
      <c r="A10" s="1" t="s">
        <v>84</v>
      </c>
      <c r="B10" s="1" t="s">
        <v>15</v>
      </c>
      <c r="C10" s="1" t="s">
        <v>16</v>
      </c>
      <c r="D10" s="1" t="s">
        <v>7</v>
      </c>
      <c r="E10" s="1" t="s">
        <v>4</v>
      </c>
      <c r="F10" s="1" t="s">
        <v>8</v>
      </c>
      <c r="G10" s="2">
        <v>45200</v>
      </c>
      <c r="I10" s="3" t="s">
        <v>75</v>
      </c>
      <c r="J10" s="2">
        <v>45323</v>
      </c>
      <c r="K10" s="3"/>
    </row>
    <row r="11" spans="1:13" x14ac:dyDescent="0.3">
      <c r="A11" s="1" t="s">
        <v>85</v>
      </c>
      <c r="B11" s="1" t="s">
        <v>17</v>
      </c>
      <c r="C11" s="1" t="s">
        <v>18</v>
      </c>
      <c r="D11" s="1" t="s">
        <v>18</v>
      </c>
      <c r="E11" s="1" t="s">
        <v>4</v>
      </c>
      <c r="F11" s="1" t="s">
        <v>19</v>
      </c>
      <c r="G11" s="2">
        <v>45292</v>
      </c>
      <c r="I11" s="3" t="s">
        <v>74</v>
      </c>
      <c r="J11" s="2">
        <v>45372</v>
      </c>
      <c r="K11" s="3"/>
    </row>
    <row r="12" spans="1:13" x14ac:dyDescent="0.3">
      <c r="A12" s="1" t="s">
        <v>86</v>
      </c>
      <c r="B12" s="1" t="s">
        <v>20</v>
      </c>
      <c r="C12" s="1" t="s">
        <v>21</v>
      </c>
      <c r="D12" s="1" t="s">
        <v>21</v>
      </c>
      <c r="E12" s="1" t="s">
        <v>14</v>
      </c>
      <c r="F12" s="1" t="s">
        <v>3</v>
      </c>
      <c r="G12" s="2">
        <v>45292</v>
      </c>
      <c r="I12" s="3" t="s">
        <v>3474</v>
      </c>
      <c r="J12" s="2">
        <v>45352</v>
      </c>
      <c r="K12" s="3"/>
    </row>
    <row r="13" spans="1:13" x14ac:dyDescent="0.3">
      <c r="A13" s="1" t="s">
        <v>87</v>
      </c>
      <c r="B13" s="1" t="s">
        <v>22</v>
      </c>
      <c r="C13" s="1" t="s">
        <v>10</v>
      </c>
      <c r="D13" s="1" t="s">
        <v>2</v>
      </c>
      <c r="E13" s="1" t="s">
        <v>4</v>
      </c>
      <c r="F13" s="1" t="s">
        <v>19</v>
      </c>
      <c r="G13" s="2">
        <v>45223</v>
      </c>
      <c r="I13" s="3" t="s">
        <v>75</v>
      </c>
      <c r="J13" s="2">
        <v>45323</v>
      </c>
      <c r="K13" s="3"/>
    </row>
    <row r="14" spans="1:13" x14ac:dyDescent="0.3">
      <c r="A14" s="1" t="s">
        <v>88</v>
      </c>
      <c r="B14" s="1" t="s">
        <v>23</v>
      </c>
      <c r="C14" s="1" t="s">
        <v>10</v>
      </c>
      <c r="D14" s="1" t="s">
        <v>2</v>
      </c>
      <c r="E14" s="1" t="s">
        <v>4</v>
      </c>
      <c r="F14" s="1" t="s">
        <v>19</v>
      </c>
      <c r="G14" s="2">
        <v>45223</v>
      </c>
      <c r="I14" s="3" t="s">
        <v>75</v>
      </c>
      <c r="J14" s="2">
        <v>45323</v>
      </c>
      <c r="K14" s="3"/>
    </row>
    <row r="15" spans="1:13" x14ac:dyDescent="0.3">
      <c r="A15" s="1" t="s">
        <v>89</v>
      </c>
      <c r="B15" s="1" t="s">
        <v>24</v>
      </c>
      <c r="C15" s="1" t="s">
        <v>10</v>
      </c>
      <c r="D15" s="1" t="s">
        <v>2</v>
      </c>
      <c r="E15" s="1" t="s">
        <v>4</v>
      </c>
      <c r="F15" s="1" t="s">
        <v>19</v>
      </c>
      <c r="G15" s="2">
        <v>45223</v>
      </c>
      <c r="I15" s="3" t="s">
        <v>75</v>
      </c>
      <c r="J15" s="2">
        <v>45323</v>
      </c>
      <c r="K15" s="3"/>
    </row>
    <row r="16" spans="1:13" x14ac:dyDescent="0.3">
      <c r="A16" s="1" t="s">
        <v>90</v>
      </c>
      <c r="B16" s="1" t="s">
        <v>1213</v>
      </c>
      <c r="C16" s="1" t="s">
        <v>25</v>
      </c>
      <c r="D16" s="1" t="s">
        <v>26</v>
      </c>
      <c r="E16" s="1" t="s">
        <v>14</v>
      </c>
      <c r="F16" s="1" t="s">
        <v>19</v>
      </c>
      <c r="G16" s="2">
        <v>45231</v>
      </c>
      <c r="I16" s="3" t="s">
        <v>75</v>
      </c>
      <c r="J16" s="2">
        <v>45323</v>
      </c>
      <c r="K16" s="3"/>
    </row>
    <row r="17" spans="1:11" x14ac:dyDescent="0.3">
      <c r="A17" s="1" t="s">
        <v>91</v>
      </c>
      <c r="B17" s="1" t="s">
        <v>27</v>
      </c>
      <c r="C17" s="1" t="s">
        <v>18</v>
      </c>
      <c r="D17" s="1" t="s">
        <v>18</v>
      </c>
      <c r="E17" s="1" t="s">
        <v>14</v>
      </c>
      <c r="F17" s="1" t="s">
        <v>19</v>
      </c>
      <c r="G17" s="2">
        <v>45231</v>
      </c>
      <c r="I17" s="3" t="s">
        <v>3474</v>
      </c>
      <c r="J17" s="2">
        <v>45352</v>
      </c>
      <c r="K17" s="3"/>
    </row>
    <row r="18" spans="1:11" x14ac:dyDescent="0.3">
      <c r="A18" s="1" t="s">
        <v>92</v>
      </c>
      <c r="B18" s="1" t="s">
        <v>28</v>
      </c>
      <c r="C18" s="1" t="s">
        <v>18</v>
      </c>
      <c r="D18" s="1" t="s">
        <v>18</v>
      </c>
      <c r="E18" s="1" t="s">
        <v>4</v>
      </c>
      <c r="F18" s="1" t="s">
        <v>3</v>
      </c>
      <c r="G18" s="2">
        <v>45292</v>
      </c>
      <c r="I18" s="3" t="s">
        <v>74</v>
      </c>
      <c r="J18" s="2">
        <v>45372</v>
      </c>
      <c r="K18" s="3"/>
    </row>
    <row r="19" spans="1:11" x14ac:dyDescent="0.3">
      <c r="A19" s="1" t="s">
        <v>93</v>
      </c>
      <c r="B19" s="1" t="s">
        <v>29</v>
      </c>
      <c r="C19" s="1" t="s">
        <v>18</v>
      </c>
      <c r="D19" s="1" t="s">
        <v>18</v>
      </c>
      <c r="E19" s="1" t="s">
        <v>4</v>
      </c>
      <c r="F19" s="1" t="s">
        <v>13</v>
      </c>
      <c r="G19" s="2">
        <v>45292</v>
      </c>
      <c r="I19" s="3" t="s">
        <v>3474</v>
      </c>
      <c r="J19" s="2">
        <v>45352</v>
      </c>
      <c r="K19" s="3"/>
    </row>
    <row r="20" spans="1:11" x14ac:dyDescent="0.3">
      <c r="A20" s="1" t="s">
        <v>94</v>
      </c>
      <c r="B20" s="1" t="s">
        <v>30</v>
      </c>
      <c r="C20" s="1" t="s">
        <v>31</v>
      </c>
      <c r="D20" s="1" t="s">
        <v>31</v>
      </c>
      <c r="E20" s="1" t="s">
        <v>14</v>
      </c>
      <c r="F20" s="1" t="s">
        <v>3</v>
      </c>
      <c r="G20" s="2">
        <v>45279</v>
      </c>
      <c r="I20" s="3" t="s">
        <v>75</v>
      </c>
      <c r="J20" s="2">
        <v>45323</v>
      </c>
      <c r="K20" s="3"/>
    </row>
    <row r="21" spans="1:11" x14ac:dyDescent="0.3">
      <c r="A21" s="1" t="s">
        <v>95</v>
      </c>
      <c r="B21" s="1" t="s">
        <v>32</v>
      </c>
      <c r="C21" s="1" t="s">
        <v>10</v>
      </c>
      <c r="D21" s="1" t="s">
        <v>2</v>
      </c>
      <c r="E21" s="1" t="s">
        <v>4</v>
      </c>
      <c r="F21" s="1" t="s">
        <v>3</v>
      </c>
      <c r="G21" s="2">
        <v>45292</v>
      </c>
      <c r="H21" s="8" t="s">
        <v>3473</v>
      </c>
      <c r="K21" s="3"/>
    </row>
    <row r="22" spans="1:11" x14ac:dyDescent="0.3">
      <c r="A22" s="1" t="s">
        <v>96</v>
      </c>
      <c r="B22" s="1" t="s">
        <v>32</v>
      </c>
      <c r="C22" s="1" t="s">
        <v>10</v>
      </c>
      <c r="D22" s="1" t="s">
        <v>2</v>
      </c>
      <c r="E22" s="1" t="s">
        <v>4</v>
      </c>
      <c r="F22" s="1" t="s">
        <v>3</v>
      </c>
      <c r="G22" s="2">
        <v>45292</v>
      </c>
      <c r="H22" s="8" t="s">
        <v>3473</v>
      </c>
      <c r="I22" s="3" t="s">
        <v>74</v>
      </c>
      <c r="J22" s="2">
        <v>45295</v>
      </c>
      <c r="K22" s="3"/>
    </row>
    <row r="23" spans="1:11" x14ac:dyDescent="0.3">
      <c r="A23" s="1" t="s">
        <v>97</v>
      </c>
      <c r="B23" s="1" t="s">
        <v>32</v>
      </c>
      <c r="C23" s="1" t="s">
        <v>10</v>
      </c>
      <c r="D23" s="1" t="s">
        <v>2</v>
      </c>
      <c r="E23" s="1" t="s">
        <v>4</v>
      </c>
      <c r="F23" s="1" t="s">
        <v>3</v>
      </c>
      <c r="G23" s="2">
        <v>45292</v>
      </c>
      <c r="H23" s="8" t="s">
        <v>3473</v>
      </c>
      <c r="K23" s="3"/>
    </row>
    <row r="24" spans="1:11" x14ac:dyDescent="0.3">
      <c r="A24" s="1" t="s">
        <v>98</v>
      </c>
      <c r="B24" s="1" t="s">
        <v>33</v>
      </c>
      <c r="C24" s="1" t="s">
        <v>34</v>
      </c>
      <c r="D24" s="1" t="s">
        <v>2</v>
      </c>
      <c r="E24" s="1" t="s">
        <v>4</v>
      </c>
      <c r="F24" s="1" t="s">
        <v>13</v>
      </c>
      <c r="G24" s="2">
        <v>45288</v>
      </c>
      <c r="I24" s="3" t="s">
        <v>75</v>
      </c>
      <c r="J24" s="2">
        <v>45323</v>
      </c>
      <c r="K24" s="3"/>
    </row>
    <row r="25" spans="1:11" x14ac:dyDescent="0.3">
      <c r="A25" s="1" t="s">
        <v>99</v>
      </c>
      <c r="B25" s="1" t="s">
        <v>35</v>
      </c>
      <c r="C25" s="1" t="s">
        <v>34</v>
      </c>
      <c r="D25" s="1" t="s">
        <v>2</v>
      </c>
      <c r="E25" s="1" t="s">
        <v>4</v>
      </c>
      <c r="F25" s="1" t="s">
        <v>13</v>
      </c>
      <c r="G25" s="2">
        <v>45288</v>
      </c>
      <c r="I25" s="3" t="s">
        <v>75</v>
      </c>
      <c r="J25" s="2">
        <v>45323</v>
      </c>
      <c r="K25" s="3"/>
    </row>
    <row r="26" spans="1:11" x14ac:dyDescent="0.3">
      <c r="A26" s="1" t="s">
        <v>100</v>
      </c>
      <c r="B26" s="1" t="s">
        <v>36</v>
      </c>
      <c r="C26" s="1" t="s">
        <v>37</v>
      </c>
      <c r="D26" s="1" t="s">
        <v>2</v>
      </c>
      <c r="E26" s="1" t="s">
        <v>4</v>
      </c>
      <c r="F26" s="1" t="s">
        <v>13</v>
      </c>
      <c r="G26" s="2">
        <v>45293</v>
      </c>
      <c r="I26" s="3" t="s">
        <v>75</v>
      </c>
      <c r="J26" s="2">
        <v>45323</v>
      </c>
      <c r="K26" s="3"/>
    </row>
    <row r="27" spans="1:11" x14ac:dyDescent="0.3">
      <c r="A27" s="1" t="s">
        <v>101</v>
      </c>
      <c r="B27" s="1" t="s">
        <v>38</v>
      </c>
      <c r="C27" s="1" t="s">
        <v>39</v>
      </c>
      <c r="D27" s="1" t="s">
        <v>39</v>
      </c>
      <c r="E27" s="1" t="s">
        <v>4</v>
      </c>
      <c r="F27" s="1" t="s">
        <v>8</v>
      </c>
      <c r="G27" s="2">
        <v>45296</v>
      </c>
      <c r="I27" s="3" t="s">
        <v>74</v>
      </c>
      <c r="J27" s="2">
        <v>45308</v>
      </c>
      <c r="K27" s="3"/>
    </row>
    <row r="28" spans="1:11" x14ac:dyDescent="0.3">
      <c r="A28" s="1" t="s">
        <v>102</v>
      </c>
      <c r="B28" s="1" t="s">
        <v>40</v>
      </c>
      <c r="C28" s="1" t="s">
        <v>34</v>
      </c>
      <c r="D28" s="1" t="s">
        <v>2</v>
      </c>
      <c r="E28" s="1" t="s">
        <v>14</v>
      </c>
      <c r="F28" s="1" t="s">
        <v>3</v>
      </c>
      <c r="G28" s="2">
        <v>45324</v>
      </c>
      <c r="I28" s="3" t="s">
        <v>74</v>
      </c>
      <c r="J28" s="2">
        <v>45345</v>
      </c>
      <c r="K28" s="3"/>
    </row>
    <row r="29" spans="1:11" x14ac:dyDescent="0.3">
      <c r="A29" s="1" t="s">
        <v>103</v>
      </c>
      <c r="B29" s="1" t="s">
        <v>41</v>
      </c>
      <c r="C29" s="1" t="s">
        <v>10</v>
      </c>
      <c r="D29" s="1" t="s">
        <v>2</v>
      </c>
      <c r="E29" s="1" t="s">
        <v>4</v>
      </c>
      <c r="F29" s="1" t="s">
        <v>3</v>
      </c>
      <c r="G29" s="2">
        <v>45300</v>
      </c>
      <c r="H29" s="8" t="s">
        <v>3473</v>
      </c>
      <c r="K29" s="3"/>
    </row>
    <row r="30" spans="1:11" x14ac:dyDescent="0.3">
      <c r="A30" s="1" t="s">
        <v>104</v>
      </c>
      <c r="B30" s="1" t="s">
        <v>42</v>
      </c>
      <c r="C30" s="1" t="s">
        <v>43</v>
      </c>
      <c r="D30" s="1" t="s">
        <v>43</v>
      </c>
      <c r="E30" s="1" t="s">
        <v>4</v>
      </c>
      <c r="F30" s="1" t="s">
        <v>8</v>
      </c>
      <c r="G30" s="2">
        <v>45292</v>
      </c>
      <c r="I30" s="3" t="s">
        <v>74</v>
      </c>
      <c r="J30" s="2">
        <v>45372</v>
      </c>
      <c r="K30" s="3"/>
    </row>
    <row r="31" spans="1:11" x14ac:dyDescent="0.3">
      <c r="A31" s="1" t="s">
        <v>105</v>
      </c>
      <c r="B31" s="1" t="s">
        <v>44</v>
      </c>
      <c r="C31" s="1" t="s">
        <v>43</v>
      </c>
      <c r="D31" s="1" t="s">
        <v>43</v>
      </c>
      <c r="E31" s="1" t="s">
        <v>4</v>
      </c>
      <c r="F31" s="1" t="s">
        <v>8</v>
      </c>
      <c r="G31" s="2">
        <v>45301</v>
      </c>
      <c r="H31" s="8" t="s">
        <v>3473</v>
      </c>
      <c r="K31" s="3"/>
    </row>
    <row r="32" spans="1:11" x14ac:dyDescent="0.3">
      <c r="A32" s="1" t="s">
        <v>106</v>
      </c>
      <c r="B32" s="1" t="s">
        <v>45</v>
      </c>
      <c r="C32" s="1" t="s">
        <v>18</v>
      </c>
      <c r="D32" s="1" t="s">
        <v>18</v>
      </c>
      <c r="E32" s="1" t="s">
        <v>4</v>
      </c>
      <c r="F32" s="1" t="s">
        <v>3</v>
      </c>
      <c r="G32" s="2">
        <v>45315</v>
      </c>
      <c r="H32" s="8" t="s">
        <v>3473</v>
      </c>
      <c r="I32" s="3" t="s">
        <v>74</v>
      </c>
      <c r="J32" s="2">
        <v>45372</v>
      </c>
      <c r="K32" s="3"/>
    </row>
    <row r="33" spans="1:12" x14ac:dyDescent="0.3">
      <c r="A33" s="1" t="s">
        <v>107</v>
      </c>
      <c r="B33" s="1" t="s">
        <v>46</v>
      </c>
      <c r="C33" s="1" t="s">
        <v>47</v>
      </c>
      <c r="D33" s="1" t="s">
        <v>2</v>
      </c>
      <c r="E33" s="1" t="s">
        <v>4</v>
      </c>
      <c r="F33" s="1" t="s">
        <v>13</v>
      </c>
      <c r="G33" s="2">
        <v>45321</v>
      </c>
      <c r="H33" s="8" t="s">
        <v>3473</v>
      </c>
      <c r="K33" s="3"/>
      <c r="L33" s="3"/>
    </row>
    <row r="34" spans="1:12" x14ac:dyDescent="0.3">
      <c r="A34" s="1" t="s">
        <v>108</v>
      </c>
      <c r="B34" s="1" t="s">
        <v>48</v>
      </c>
      <c r="C34" s="1" t="s">
        <v>10</v>
      </c>
      <c r="D34" s="1" t="s">
        <v>2</v>
      </c>
      <c r="E34" s="1" t="s">
        <v>4</v>
      </c>
      <c r="F34" s="1" t="s">
        <v>19</v>
      </c>
      <c r="G34" s="2">
        <v>45321</v>
      </c>
      <c r="K34" s="3"/>
    </row>
    <row r="35" spans="1:12" x14ac:dyDescent="0.3">
      <c r="A35" s="1" t="s">
        <v>109</v>
      </c>
      <c r="B35" s="1" t="s">
        <v>49</v>
      </c>
      <c r="C35" s="1" t="s">
        <v>10</v>
      </c>
      <c r="D35" s="1" t="s">
        <v>2</v>
      </c>
      <c r="E35" s="1" t="s">
        <v>4</v>
      </c>
      <c r="F35" s="1" t="s">
        <v>13</v>
      </c>
      <c r="G35" s="2">
        <v>45321</v>
      </c>
      <c r="I35" s="3" t="s">
        <v>74</v>
      </c>
      <c r="J35" s="2">
        <v>45351</v>
      </c>
      <c r="K35" s="3"/>
    </row>
    <row r="36" spans="1:12" x14ac:dyDescent="0.3">
      <c r="A36" s="1" t="s">
        <v>110</v>
      </c>
      <c r="B36" s="1" t="s">
        <v>50</v>
      </c>
      <c r="C36" s="1" t="s">
        <v>10</v>
      </c>
      <c r="D36" s="1" t="s">
        <v>2</v>
      </c>
      <c r="E36" s="1" t="s">
        <v>4</v>
      </c>
      <c r="F36" s="1" t="s">
        <v>13</v>
      </c>
      <c r="G36" s="2">
        <v>45321</v>
      </c>
      <c r="I36" s="3" t="s">
        <v>74</v>
      </c>
      <c r="J36" s="2">
        <v>45351</v>
      </c>
      <c r="K36" s="3"/>
    </row>
    <row r="37" spans="1:12" x14ac:dyDescent="0.3">
      <c r="A37" s="1" t="s">
        <v>111</v>
      </c>
      <c r="B37" s="1" t="s">
        <v>51</v>
      </c>
      <c r="C37" s="1" t="s">
        <v>52</v>
      </c>
      <c r="D37" s="1" t="s">
        <v>2</v>
      </c>
      <c r="E37" s="1" t="s">
        <v>4</v>
      </c>
      <c r="F37" s="1" t="s">
        <v>3</v>
      </c>
      <c r="G37" s="2">
        <v>45324</v>
      </c>
      <c r="I37" s="3" t="s">
        <v>74</v>
      </c>
      <c r="J37" s="2">
        <v>45324</v>
      </c>
      <c r="K37" s="3"/>
    </row>
    <row r="38" spans="1:12" x14ac:dyDescent="0.3">
      <c r="A38" s="1" t="s">
        <v>112</v>
      </c>
      <c r="B38" s="1" t="s">
        <v>53</v>
      </c>
      <c r="C38" s="1" t="s">
        <v>43</v>
      </c>
      <c r="D38" s="1" t="s">
        <v>43</v>
      </c>
      <c r="E38" s="1" t="s">
        <v>14</v>
      </c>
      <c r="F38" s="1" t="s">
        <v>13</v>
      </c>
      <c r="G38" s="2">
        <v>45337</v>
      </c>
      <c r="I38" s="3" t="s">
        <v>74</v>
      </c>
      <c r="J38" s="2">
        <v>45465</v>
      </c>
      <c r="K38" s="3"/>
    </row>
    <row r="39" spans="1:12" x14ac:dyDescent="0.3">
      <c r="A39" s="1" t="s">
        <v>113</v>
      </c>
      <c r="B39" s="1" t="s">
        <v>54</v>
      </c>
      <c r="C39" s="1" t="s">
        <v>43</v>
      </c>
      <c r="D39" s="1" t="s">
        <v>43</v>
      </c>
      <c r="E39" s="1" t="s">
        <v>14</v>
      </c>
      <c r="F39" s="1" t="s">
        <v>13</v>
      </c>
      <c r="G39" s="2">
        <v>45341</v>
      </c>
      <c r="I39" s="3" t="s">
        <v>74</v>
      </c>
      <c r="J39" s="2">
        <v>45434</v>
      </c>
      <c r="K39" s="3"/>
    </row>
    <row r="40" spans="1:12" x14ac:dyDescent="0.3">
      <c r="A40" s="1" t="s">
        <v>127</v>
      </c>
      <c r="B40" s="1" t="s">
        <v>0</v>
      </c>
      <c r="C40" s="1" t="s">
        <v>1</v>
      </c>
      <c r="D40" s="1" t="s">
        <v>2</v>
      </c>
      <c r="E40" s="1" t="s">
        <v>4</v>
      </c>
      <c r="F40" s="1" t="s">
        <v>3</v>
      </c>
      <c r="G40" s="2">
        <v>45350</v>
      </c>
      <c r="I40" s="3" t="s">
        <v>74</v>
      </c>
      <c r="J40" s="2">
        <v>45372</v>
      </c>
      <c r="K40" s="3"/>
    </row>
    <row r="41" spans="1:12" x14ac:dyDescent="0.3">
      <c r="A41" s="1" t="s">
        <v>114</v>
      </c>
      <c r="B41" s="1" t="s">
        <v>55</v>
      </c>
      <c r="D41" s="1" t="s">
        <v>56</v>
      </c>
      <c r="E41" s="1" t="s">
        <v>4</v>
      </c>
      <c r="F41" s="1" t="s">
        <v>8</v>
      </c>
      <c r="G41" s="2">
        <v>45351</v>
      </c>
      <c r="I41" s="3" t="s">
        <v>74</v>
      </c>
      <c r="J41" s="2">
        <v>45386</v>
      </c>
      <c r="K41" s="3"/>
    </row>
    <row r="42" spans="1:12" x14ac:dyDescent="0.3">
      <c r="A42" s="1" t="s">
        <v>115</v>
      </c>
      <c r="B42" s="1" t="s">
        <v>57</v>
      </c>
      <c r="D42" s="1" t="s">
        <v>58</v>
      </c>
      <c r="E42" s="1" t="s">
        <v>14</v>
      </c>
      <c r="F42" s="1" t="s">
        <v>13</v>
      </c>
      <c r="G42" s="2">
        <v>45364</v>
      </c>
      <c r="I42" s="3" t="s">
        <v>74</v>
      </c>
      <c r="J42" s="2">
        <v>45372</v>
      </c>
      <c r="K42" s="3"/>
    </row>
    <row r="43" spans="1:12" x14ac:dyDescent="0.3">
      <c r="A43" s="1" t="s">
        <v>116</v>
      </c>
      <c r="B43" s="1" t="s">
        <v>59</v>
      </c>
      <c r="C43" s="1" t="s">
        <v>60</v>
      </c>
      <c r="D43" s="1" t="s">
        <v>61</v>
      </c>
      <c r="E43" s="1" t="s">
        <v>4</v>
      </c>
      <c r="F43" s="1" t="s">
        <v>13</v>
      </c>
      <c r="G43" s="2">
        <v>45358</v>
      </c>
      <c r="I43" s="3" t="s">
        <v>74</v>
      </c>
      <c r="J43" s="2">
        <v>45372</v>
      </c>
      <c r="K43" s="3"/>
    </row>
    <row r="44" spans="1:12" x14ac:dyDescent="0.3">
      <c r="A44" s="1" t="s">
        <v>117</v>
      </c>
      <c r="B44" s="1" t="s">
        <v>62</v>
      </c>
      <c r="C44" s="1" t="s">
        <v>18</v>
      </c>
      <c r="D44" s="1" t="s">
        <v>18</v>
      </c>
      <c r="E44" s="1" t="s">
        <v>4</v>
      </c>
      <c r="F44" s="1" t="s">
        <v>19</v>
      </c>
      <c r="G44" s="2">
        <v>45377</v>
      </c>
      <c r="K44" s="3"/>
    </row>
    <row r="45" spans="1:12" x14ac:dyDescent="0.3">
      <c r="A45" s="1" t="s">
        <v>118</v>
      </c>
      <c r="B45" s="1" t="s">
        <v>2853</v>
      </c>
      <c r="C45" s="1" t="s">
        <v>63</v>
      </c>
      <c r="D45" s="1" t="s">
        <v>7</v>
      </c>
      <c r="E45" s="1" t="s">
        <v>4</v>
      </c>
      <c r="F45" s="1" t="s">
        <v>8</v>
      </c>
      <c r="G45" s="2">
        <v>45378</v>
      </c>
      <c r="I45" s="3" t="s">
        <v>75</v>
      </c>
      <c r="J45" s="2">
        <v>45383</v>
      </c>
      <c r="K45" s="3"/>
    </row>
    <row r="46" spans="1:12" x14ac:dyDescent="0.3">
      <c r="A46" s="1" t="s">
        <v>119</v>
      </c>
      <c r="B46" s="1" t="s">
        <v>64</v>
      </c>
      <c r="C46" s="1" t="s">
        <v>64</v>
      </c>
      <c r="D46" s="1" t="s">
        <v>7</v>
      </c>
      <c r="E46" s="1" t="s">
        <v>4</v>
      </c>
      <c r="F46" s="1" t="s">
        <v>8</v>
      </c>
      <c r="G46" s="2">
        <v>45378</v>
      </c>
      <c r="I46" s="3" t="s">
        <v>75</v>
      </c>
      <c r="J46" s="2">
        <v>45383</v>
      </c>
      <c r="K46" s="3"/>
    </row>
    <row r="47" spans="1:12" x14ac:dyDescent="0.3">
      <c r="A47" s="1" t="s">
        <v>120</v>
      </c>
      <c r="B47" s="1" t="s">
        <v>65</v>
      </c>
      <c r="C47" s="1" t="s">
        <v>66</v>
      </c>
      <c r="D47" s="1" t="s">
        <v>2</v>
      </c>
      <c r="E47" s="1" t="s">
        <v>4</v>
      </c>
      <c r="F47" s="1" t="s">
        <v>3</v>
      </c>
      <c r="G47" s="2">
        <v>45383</v>
      </c>
      <c r="I47" s="3" t="s">
        <v>75</v>
      </c>
      <c r="J47" s="2">
        <v>45413</v>
      </c>
      <c r="K47" s="3"/>
    </row>
    <row r="48" spans="1:12" x14ac:dyDescent="0.3">
      <c r="A48" s="1" t="s">
        <v>121</v>
      </c>
      <c r="B48" s="1" t="s">
        <v>67</v>
      </c>
      <c r="D48" s="1" t="s">
        <v>21</v>
      </c>
      <c r="E48" s="1" t="s">
        <v>14</v>
      </c>
      <c r="F48" s="1" t="s">
        <v>3</v>
      </c>
      <c r="G48" s="2">
        <v>45402</v>
      </c>
      <c r="H48" s="8" t="s">
        <v>3473</v>
      </c>
      <c r="K48" s="3"/>
    </row>
    <row r="49" spans="1:11" x14ac:dyDescent="0.3">
      <c r="A49" s="1" t="s">
        <v>122</v>
      </c>
      <c r="B49" s="1" t="s">
        <v>33</v>
      </c>
      <c r="D49" s="1" t="s">
        <v>2</v>
      </c>
      <c r="E49" s="1" t="s">
        <v>4</v>
      </c>
      <c r="F49" s="1" t="s">
        <v>3</v>
      </c>
      <c r="G49" s="2">
        <v>45402</v>
      </c>
      <c r="H49" s="8" t="s">
        <v>3473</v>
      </c>
      <c r="K49" s="3"/>
    </row>
    <row r="50" spans="1:11" x14ac:dyDescent="0.3">
      <c r="A50" s="1" t="s">
        <v>123</v>
      </c>
      <c r="B50" s="1" t="s">
        <v>68</v>
      </c>
      <c r="D50" s="1" t="s">
        <v>7</v>
      </c>
      <c r="E50" s="1" t="s">
        <v>14</v>
      </c>
      <c r="F50" s="1" t="s">
        <v>13</v>
      </c>
      <c r="G50" s="2">
        <v>45383</v>
      </c>
      <c r="H50" s="8" t="s">
        <v>3473</v>
      </c>
      <c r="K50" s="3"/>
    </row>
    <row r="51" spans="1:11" x14ac:dyDescent="0.3">
      <c r="A51" s="1" t="s">
        <v>124</v>
      </c>
      <c r="B51" s="1" t="s">
        <v>69</v>
      </c>
      <c r="D51" s="1" t="s">
        <v>7</v>
      </c>
      <c r="E51" s="1" t="s">
        <v>14</v>
      </c>
      <c r="F51" s="1" t="s">
        <v>3</v>
      </c>
      <c r="G51" s="2">
        <v>45383</v>
      </c>
      <c r="H51" s="8" t="s">
        <v>3473</v>
      </c>
      <c r="K51" s="3"/>
    </row>
    <row r="52" spans="1:11" x14ac:dyDescent="0.3">
      <c r="A52" s="1" t="s">
        <v>125</v>
      </c>
      <c r="B52" s="1" t="s">
        <v>70</v>
      </c>
      <c r="C52" s="1" t="s">
        <v>71</v>
      </c>
      <c r="D52" s="1" t="s">
        <v>18</v>
      </c>
      <c r="E52" s="1" t="s">
        <v>4</v>
      </c>
      <c r="F52" s="1" t="s">
        <v>13</v>
      </c>
      <c r="G52" s="2">
        <v>45411</v>
      </c>
      <c r="H52" s="8" t="s">
        <v>3473</v>
      </c>
      <c r="K52" s="3"/>
    </row>
    <row r="53" spans="1:11" x14ac:dyDescent="0.3">
      <c r="A53" s="1" t="s">
        <v>126</v>
      </c>
      <c r="B53" s="1" t="s">
        <v>72</v>
      </c>
      <c r="C53" s="1" t="s">
        <v>73</v>
      </c>
      <c r="D53" s="1" t="s">
        <v>73</v>
      </c>
      <c r="E53" s="1" t="s">
        <v>14</v>
      </c>
      <c r="F53" s="1" t="s">
        <v>13</v>
      </c>
      <c r="G53" s="2">
        <v>45414</v>
      </c>
      <c r="H53" s="8" t="s">
        <v>3473</v>
      </c>
      <c r="K53" s="3"/>
    </row>
  </sheetData>
  <phoneticPr fontId="3" type="noConversion"/>
  <dataValidations count="4">
    <dataValidation type="list" allowBlank="1" showInputMessage="1" showErrorMessage="1" sqref="I2:I53" xr:uid="{72201070-8C79-451F-97CC-59FBB2FD2FA7}">
      <formula1>"Closed,Hold,Cancelled"</formula1>
    </dataValidation>
    <dataValidation type="list" allowBlank="1" showInputMessage="1" showErrorMessage="1" sqref="H2:H53" xr:uid="{1A74BDE8-7A8E-48A0-97F1-3AA2B6D73A63}">
      <formula1>"Urgent"</formula1>
    </dataValidation>
    <dataValidation type="custom" allowBlank="1" showInputMessage="1" showErrorMessage="1" errorTitle="Duplicated ID" error="ID is not allowed duplicated." sqref="A2:A53" xr:uid="{2B9DB377-1207-42E4-8BC9-9C9EB001467D}">
      <formula1>COUNTIF(INDIRECT("Posts[PostID]"),INDIRECT("Posts[@PostID]"))&lt;2</formula1>
    </dataValidation>
    <dataValidation type="custom" allowBlank="1" showInputMessage="1" showErrorMessage="1" errorTitle="Error Date" error="Status date must be later than approved date." sqref="J2:J53" xr:uid="{2A078A45-C1AB-4EFB-9432-533E9C01CE49}">
      <formula1>AND($J2&gt;=G2)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F11B7-34A7-474F-9846-E825BA2610F4}">
  <sheetPr codeName="shCand_Data"/>
  <dimension ref="A1:I620"/>
  <sheetViews>
    <sheetView workbookViewId="0">
      <pane xSplit="3" ySplit="1" topLeftCell="D588" activePane="bottomRight" state="frozen"/>
      <selection pane="topRight" activeCell="C1" sqref="C1"/>
      <selection pane="bottomLeft" activeCell="A2" sqref="A2"/>
      <selection pane="bottomRight" activeCell="B624" sqref="B624"/>
    </sheetView>
  </sheetViews>
  <sheetFormatPr defaultRowHeight="14" x14ac:dyDescent="0.3"/>
  <cols>
    <col min="1" max="1" width="5.59765625" style="3" customWidth="1"/>
    <col min="2" max="2" width="9.8984375" style="1" customWidth="1"/>
    <col min="3" max="3" width="18.296875" style="1" customWidth="1"/>
    <col min="4" max="4" width="6.09765625" style="3" customWidth="1"/>
    <col min="5" max="5" width="18.296875" style="1" customWidth="1"/>
    <col min="6" max="6" width="27.19921875" style="1" customWidth="1"/>
    <col min="7" max="7" width="32.796875" style="1" customWidth="1"/>
    <col min="8" max="8" width="18.296875" style="1" customWidth="1"/>
    <col min="9" max="9" width="34.5" style="1" bestFit="1" customWidth="1"/>
    <col min="10" max="10" width="10" style="1" customWidth="1"/>
    <col min="11" max="16384" width="8.796875" style="1"/>
  </cols>
  <sheetData>
    <row r="1" spans="1:9" s="6" customFormat="1" ht="24.5" customHeight="1" x14ac:dyDescent="0.3">
      <c r="A1" s="7" t="s">
        <v>3475</v>
      </c>
      <c r="B1" s="6" t="s">
        <v>3487</v>
      </c>
      <c r="C1" s="6" t="s">
        <v>3497</v>
      </c>
      <c r="D1" s="7" t="s">
        <v>3488</v>
      </c>
      <c r="E1" s="6" t="s">
        <v>3491</v>
      </c>
      <c r="F1" s="6" t="s">
        <v>3492</v>
      </c>
      <c r="G1" s="6" t="s">
        <v>3493</v>
      </c>
      <c r="H1" s="6" t="s">
        <v>3494</v>
      </c>
      <c r="I1" s="6" t="s">
        <v>3495</v>
      </c>
    </row>
    <row r="2" spans="1:9" x14ac:dyDescent="0.3">
      <c r="A2" s="3">
        <v>1</v>
      </c>
      <c r="B2" s="1" t="s">
        <v>2222</v>
      </c>
      <c r="C2" s="1" t="s">
        <v>128</v>
      </c>
      <c r="D2" s="3" t="s">
        <v>3490</v>
      </c>
      <c r="E2" s="1" t="s">
        <v>1118</v>
      </c>
      <c r="F2" s="1" t="s">
        <v>1120</v>
      </c>
      <c r="G2" s="1" t="s">
        <v>1516</v>
      </c>
      <c r="I2" s="1" t="s">
        <v>592</v>
      </c>
    </row>
    <row r="3" spans="1:9" x14ac:dyDescent="0.3">
      <c r="A3" s="3">
        <v>2</v>
      </c>
      <c r="B3" s="1" t="s">
        <v>2225</v>
      </c>
      <c r="C3" s="1" t="s">
        <v>129</v>
      </c>
      <c r="D3" s="3" t="s">
        <v>3490</v>
      </c>
      <c r="E3" s="1" t="s">
        <v>1113</v>
      </c>
      <c r="F3" s="1" t="s">
        <v>1121</v>
      </c>
      <c r="G3" s="1" t="s">
        <v>1517</v>
      </c>
      <c r="H3" s="1" t="s">
        <v>2051</v>
      </c>
      <c r="I3" s="1" t="s">
        <v>593</v>
      </c>
    </row>
    <row r="4" spans="1:9" x14ac:dyDescent="0.3">
      <c r="A4" s="3">
        <v>3</v>
      </c>
      <c r="B4" s="1" t="s">
        <v>2226</v>
      </c>
      <c r="C4" s="1" t="s">
        <v>130</v>
      </c>
      <c r="D4" s="3" t="s">
        <v>3490</v>
      </c>
      <c r="E4" s="1" t="s">
        <v>1118</v>
      </c>
      <c r="F4" s="1" t="s">
        <v>1122</v>
      </c>
      <c r="G4" s="1" t="s">
        <v>1518</v>
      </c>
      <c r="I4" s="1" t="s">
        <v>594</v>
      </c>
    </row>
    <row r="5" spans="1:9" x14ac:dyDescent="0.3">
      <c r="A5" s="3">
        <v>4</v>
      </c>
      <c r="B5" s="1" t="s">
        <v>2227</v>
      </c>
      <c r="C5" s="1" t="s">
        <v>131</v>
      </c>
      <c r="D5" s="3" t="s">
        <v>3490</v>
      </c>
      <c r="E5" s="1" t="s">
        <v>1118</v>
      </c>
      <c r="F5" s="1" t="s">
        <v>1123</v>
      </c>
      <c r="G5" s="1" t="s">
        <v>1519</v>
      </c>
      <c r="H5" s="1" t="s">
        <v>2052</v>
      </c>
      <c r="I5" s="1" t="s">
        <v>595</v>
      </c>
    </row>
    <row r="6" spans="1:9" x14ac:dyDescent="0.3">
      <c r="A6" s="3">
        <v>5</v>
      </c>
      <c r="B6" s="1" t="s">
        <v>2228</v>
      </c>
      <c r="C6" s="1" t="s">
        <v>132</v>
      </c>
      <c r="D6" s="3" t="s">
        <v>3489</v>
      </c>
      <c r="E6" s="1" t="s">
        <v>1118</v>
      </c>
      <c r="F6" s="1" t="s">
        <v>33</v>
      </c>
      <c r="G6" s="1" t="s">
        <v>1520</v>
      </c>
      <c r="H6" s="1" t="s">
        <v>2088</v>
      </c>
      <c r="I6" s="1" t="s">
        <v>596</v>
      </c>
    </row>
    <row r="7" spans="1:9" x14ac:dyDescent="0.3">
      <c r="A7" s="3">
        <v>6</v>
      </c>
      <c r="B7" s="1" t="s">
        <v>2229</v>
      </c>
      <c r="C7" s="1" t="s">
        <v>133</v>
      </c>
      <c r="D7" s="3" t="s">
        <v>3490</v>
      </c>
      <c r="E7" s="1" t="s">
        <v>1118</v>
      </c>
      <c r="F7" s="1" t="s">
        <v>1124</v>
      </c>
      <c r="G7" s="1" t="s">
        <v>1521</v>
      </c>
      <c r="I7" s="1" t="s">
        <v>597</v>
      </c>
    </row>
    <row r="8" spans="1:9" x14ac:dyDescent="0.3">
      <c r="A8" s="3">
        <v>7</v>
      </c>
      <c r="B8" s="1" t="s">
        <v>2230</v>
      </c>
      <c r="C8" s="1" t="s">
        <v>2089</v>
      </c>
      <c r="D8" s="3" t="s">
        <v>3490</v>
      </c>
      <c r="E8" s="1" t="s">
        <v>1118</v>
      </c>
      <c r="F8" s="1" t="s">
        <v>1125</v>
      </c>
      <c r="G8" s="1" t="s">
        <v>1522</v>
      </c>
      <c r="I8" s="1" t="s">
        <v>598</v>
      </c>
    </row>
    <row r="9" spans="1:9" x14ac:dyDescent="0.3">
      <c r="A9" s="3">
        <v>8</v>
      </c>
      <c r="B9" s="1" t="s">
        <v>2223</v>
      </c>
      <c r="C9" s="1" t="s">
        <v>134</v>
      </c>
      <c r="D9" s="3" t="s">
        <v>3489</v>
      </c>
      <c r="E9" s="1" t="s">
        <v>1118</v>
      </c>
      <c r="F9" s="1" t="s">
        <v>1126</v>
      </c>
      <c r="G9" s="1" t="s">
        <v>1523</v>
      </c>
      <c r="H9" s="1" t="s">
        <v>2052</v>
      </c>
      <c r="I9" s="1" t="s">
        <v>599</v>
      </c>
    </row>
    <row r="10" spans="1:9" x14ac:dyDescent="0.3">
      <c r="A10" s="3">
        <v>9</v>
      </c>
      <c r="B10" s="1" t="s">
        <v>2224</v>
      </c>
      <c r="C10" s="1" t="s">
        <v>135</v>
      </c>
      <c r="D10" s="3" t="s">
        <v>3489</v>
      </c>
      <c r="E10" s="1" t="s">
        <v>1118</v>
      </c>
      <c r="F10" s="1" t="s">
        <v>1127</v>
      </c>
      <c r="G10" s="1" t="s">
        <v>1524</v>
      </c>
      <c r="I10" s="1" t="s">
        <v>600</v>
      </c>
    </row>
    <row r="11" spans="1:9" x14ac:dyDescent="0.3">
      <c r="A11" s="3">
        <v>10</v>
      </c>
      <c r="B11" s="1" t="s">
        <v>2231</v>
      </c>
      <c r="C11" s="1" t="s">
        <v>2090</v>
      </c>
      <c r="D11" s="3" t="s">
        <v>3490</v>
      </c>
      <c r="E11" s="1" t="s">
        <v>1118</v>
      </c>
      <c r="F11" s="1" t="s">
        <v>1128</v>
      </c>
      <c r="G11" s="1" t="s">
        <v>1525</v>
      </c>
      <c r="H11" s="1" t="s">
        <v>2052</v>
      </c>
      <c r="I11" s="1" t="s">
        <v>601</v>
      </c>
    </row>
    <row r="12" spans="1:9" x14ac:dyDescent="0.3">
      <c r="A12" s="3">
        <v>11</v>
      </c>
      <c r="B12" s="1" t="s">
        <v>2232</v>
      </c>
      <c r="C12" s="1" t="s">
        <v>136</v>
      </c>
      <c r="D12" s="3" t="s">
        <v>3490</v>
      </c>
      <c r="E12" s="1" t="s">
        <v>1118</v>
      </c>
      <c r="F12" s="1" t="s">
        <v>1129</v>
      </c>
      <c r="G12" s="1" t="s">
        <v>1526</v>
      </c>
      <c r="I12" s="1" t="s">
        <v>602</v>
      </c>
    </row>
    <row r="13" spans="1:9" x14ac:dyDescent="0.3">
      <c r="A13" s="3">
        <v>12</v>
      </c>
      <c r="B13" s="1" t="s">
        <v>2233</v>
      </c>
      <c r="C13" s="1" t="s">
        <v>2091</v>
      </c>
      <c r="D13" s="3" t="s">
        <v>3490</v>
      </c>
      <c r="E13" s="1" t="s">
        <v>1118</v>
      </c>
      <c r="F13" s="1" t="s">
        <v>1130</v>
      </c>
      <c r="G13" s="1" t="s">
        <v>1527</v>
      </c>
      <c r="I13" s="1" t="s">
        <v>603</v>
      </c>
    </row>
    <row r="14" spans="1:9" x14ac:dyDescent="0.3">
      <c r="A14" s="3">
        <v>13</v>
      </c>
      <c r="B14" s="1" t="s">
        <v>2234</v>
      </c>
      <c r="C14" s="1" t="s">
        <v>2092</v>
      </c>
      <c r="D14" s="3" t="s">
        <v>3489</v>
      </c>
      <c r="E14" s="1" t="s">
        <v>1118</v>
      </c>
      <c r="F14" s="1" t="s">
        <v>15</v>
      </c>
      <c r="G14" s="1" t="s">
        <v>2841</v>
      </c>
      <c r="I14" s="1" t="s">
        <v>604</v>
      </c>
    </row>
    <row r="15" spans="1:9" x14ac:dyDescent="0.3">
      <c r="A15" s="3">
        <v>14</v>
      </c>
      <c r="B15" s="1" t="s">
        <v>2235</v>
      </c>
      <c r="C15" s="1" t="s">
        <v>137</v>
      </c>
      <c r="D15" s="3" t="s">
        <v>3489</v>
      </c>
      <c r="E15" s="1" t="s">
        <v>1118</v>
      </c>
      <c r="F15" s="1" t="s">
        <v>1131</v>
      </c>
      <c r="G15" s="1" t="s">
        <v>1528</v>
      </c>
      <c r="H15" s="1" t="s">
        <v>2053</v>
      </c>
      <c r="I15" s="1" t="s">
        <v>605</v>
      </c>
    </row>
    <row r="16" spans="1:9" x14ac:dyDescent="0.3">
      <c r="A16" s="3">
        <v>15</v>
      </c>
      <c r="B16" s="1" t="s">
        <v>2236</v>
      </c>
      <c r="C16" s="1" t="s">
        <v>138</v>
      </c>
      <c r="D16" s="3" t="s">
        <v>3489</v>
      </c>
      <c r="E16" s="1" t="s">
        <v>1113</v>
      </c>
      <c r="F16" s="1" t="s">
        <v>1132</v>
      </c>
      <c r="G16" s="1" t="s">
        <v>1529</v>
      </c>
      <c r="H16" s="1" t="s">
        <v>2052</v>
      </c>
      <c r="I16" s="1" t="s">
        <v>606</v>
      </c>
    </row>
    <row r="17" spans="1:9" x14ac:dyDescent="0.3">
      <c r="A17" s="3">
        <v>16</v>
      </c>
      <c r="B17" s="1" t="s">
        <v>2237</v>
      </c>
      <c r="C17" s="1" t="s">
        <v>2093</v>
      </c>
      <c r="D17" s="3" t="s">
        <v>3489</v>
      </c>
      <c r="E17" s="1" t="s">
        <v>1118</v>
      </c>
      <c r="F17" s="1" t="s">
        <v>1133</v>
      </c>
      <c r="G17" s="1" t="s">
        <v>1530</v>
      </c>
      <c r="I17" s="1" t="s">
        <v>607</v>
      </c>
    </row>
    <row r="18" spans="1:9" x14ac:dyDescent="0.3">
      <c r="A18" s="3">
        <v>17</v>
      </c>
      <c r="B18" s="1" t="s">
        <v>2238</v>
      </c>
      <c r="C18" s="1" t="s">
        <v>139</v>
      </c>
      <c r="D18" s="3" t="s">
        <v>3489</v>
      </c>
      <c r="E18" s="1" t="s">
        <v>1118</v>
      </c>
      <c r="F18" s="1" t="s">
        <v>1134</v>
      </c>
      <c r="G18" s="1" t="s">
        <v>1531</v>
      </c>
      <c r="I18" s="1" t="s">
        <v>608</v>
      </c>
    </row>
    <row r="19" spans="1:9" x14ac:dyDescent="0.3">
      <c r="A19" s="3">
        <v>18</v>
      </c>
      <c r="B19" s="1" t="s">
        <v>2239</v>
      </c>
      <c r="C19" s="1" t="s">
        <v>140</v>
      </c>
      <c r="D19" s="3" t="s">
        <v>3489</v>
      </c>
      <c r="E19" s="1" t="s">
        <v>1118</v>
      </c>
      <c r="F19" s="1" t="s">
        <v>1135</v>
      </c>
      <c r="G19" s="1" t="s">
        <v>1532</v>
      </c>
      <c r="H19" s="1" t="s">
        <v>2054</v>
      </c>
      <c r="I19" s="1" t="s">
        <v>609</v>
      </c>
    </row>
    <row r="20" spans="1:9" x14ac:dyDescent="0.3">
      <c r="A20" s="3">
        <v>19</v>
      </c>
      <c r="B20" s="1" t="s">
        <v>2240</v>
      </c>
      <c r="C20" s="1" t="s">
        <v>141</v>
      </c>
      <c r="D20" s="3" t="s">
        <v>3490</v>
      </c>
      <c r="E20" s="1" t="s">
        <v>1118</v>
      </c>
      <c r="F20" s="1" t="s">
        <v>1136</v>
      </c>
      <c r="G20" s="1" t="s">
        <v>1533</v>
      </c>
      <c r="H20" s="1" t="s">
        <v>2055</v>
      </c>
      <c r="I20" s="1" t="s">
        <v>610</v>
      </c>
    </row>
    <row r="21" spans="1:9" x14ac:dyDescent="0.3">
      <c r="A21" s="3">
        <v>20</v>
      </c>
      <c r="B21" s="1" t="s">
        <v>2241</v>
      </c>
      <c r="C21" s="1" t="s">
        <v>142</v>
      </c>
      <c r="D21" s="3" t="s">
        <v>3489</v>
      </c>
      <c r="E21" s="1" t="s">
        <v>1118</v>
      </c>
      <c r="F21" s="1" t="s">
        <v>1137</v>
      </c>
      <c r="G21" s="1" t="s">
        <v>1534</v>
      </c>
      <c r="I21" s="1" t="s">
        <v>611</v>
      </c>
    </row>
    <row r="22" spans="1:9" x14ac:dyDescent="0.3">
      <c r="A22" s="3">
        <v>21</v>
      </c>
      <c r="B22" s="1" t="s">
        <v>2242</v>
      </c>
      <c r="C22" s="1" t="s">
        <v>143</v>
      </c>
      <c r="D22" s="3" t="s">
        <v>3490</v>
      </c>
      <c r="E22" s="1" t="s">
        <v>1118</v>
      </c>
      <c r="F22" s="1" t="s">
        <v>1138</v>
      </c>
      <c r="G22" s="1" t="s">
        <v>1535</v>
      </c>
      <c r="H22" s="1" t="s">
        <v>2056</v>
      </c>
      <c r="I22" s="1" t="s">
        <v>612</v>
      </c>
    </row>
    <row r="23" spans="1:9" x14ac:dyDescent="0.3">
      <c r="A23" s="3">
        <v>22</v>
      </c>
      <c r="B23" s="1" t="s">
        <v>2243</v>
      </c>
      <c r="C23" s="1" t="s">
        <v>144</v>
      </c>
      <c r="D23" s="3" t="s">
        <v>3490</v>
      </c>
      <c r="E23" s="1" t="s">
        <v>1117</v>
      </c>
      <c r="F23" s="1" t="s">
        <v>1139</v>
      </c>
      <c r="H23" s="1" t="s">
        <v>704</v>
      </c>
      <c r="I23" s="1" t="s">
        <v>613</v>
      </c>
    </row>
    <row r="24" spans="1:9" x14ac:dyDescent="0.3">
      <c r="A24" s="3">
        <v>23</v>
      </c>
      <c r="B24" s="1" t="s">
        <v>2244</v>
      </c>
      <c r="C24" s="1" t="s">
        <v>145</v>
      </c>
      <c r="D24" s="3" t="s">
        <v>3490</v>
      </c>
      <c r="E24" s="1" t="s">
        <v>1113</v>
      </c>
      <c r="F24" s="1" t="s">
        <v>1140</v>
      </c>
      <c r="G24" s="1" t="s">
        <v>1536</v>
      </c>
      <c r="H24" s="1" t="s">
        <v>2057</v>
      </c>
      <c r="I24" s="1" t="s">
        <v>614</v>
      </c>
    </row>
    <row r="25" spans="1:9" x14ac:dyDescent="0.3">
      <c r="A25" s="3">
        <v>24</v>
      </c>
      <c r="B25" s="1" t="s">
        <v>2245</v>
      </c>
      <c r="C25" s="1" t="s">
        <v>2094</v>
      </c>
      <c r="D25" s="3" t="s">
        <v>3490</v>
      </c>
      <c r="E25" s="1" t="s">
        <v>1118</v>
      </c>
      <c r="F25" s="1" t="s">
        <v>1141</v>
      </c>
      <c r="G25" s="1" t="s">
        <v>1537</v>
      </c>
      <c r="H25" s="1" t="s">
        <v>2052</v>
      </c>
      <c r="I25" s="1" t="s">
        <v>615</v>
      </c>
    </row>
    <row r="26" spans="1:9" x14ac:dyDescent="0.3">
      <c r="A26" s="3">
        <v>25</v>
      </c>
      <c r="B26" s="1" t="s">
        <v>2246</v>
      </c>
      <c r="C26" s="1" t="s">
        <v>2095</v>
      </c>
      <c r="D26" s="3" t="s">
        <v>3489</v>
      </c>
      <c r="E26" s="1" t="s">
        <v>1118</v>
      </c>
      <c r="F26" s="1" t="s">
        <v>1142</v>
      </c>
      <c r="G26" s="1" t="s">
        <v>1538</v>
      </c>
      <c r="H26" s="1" t="s">
        <v>2052</v>
      </c>
      <c r="I26" s="1" t="s">
        <v>616</v>
      </c>
    </row>
    <row r="27" spans="1:9" x14ac:dyDescent="0.3">
      <c r="A27" s="3">
        <v>26</v>
      </c>
      <c r="B27" s="1" t="s">
        <v>2247</v>
      </c>
      <c r="C27" s="1" t="s">
        <v>146</v>
      </c>
      <c r="D27" s="3" t="s">
        <v>3490</v>
      </c>
      <c r="E27" s="1" t="s">
        <v>1118</v>
      </c>
      <c r="F27" s="1" t="s">
        <v>1143</v>
      </c>
      <c r="G27" s="1" t="s">
        <v>1539</v>
      </c>
      <c r="H27" s="1" t="s">
        <v>2088</v>
      </c>
      <c r="I27" s="1" t="s">
        <v>617</v>
      </c>
    </row>
    <row r="28" spans="1:9" x14ac:dyDescent="0.3">
      <c r="A28" s="3">
        <v>27</v>
      </c>
      <c r="B28" s="1" t="s">
        <v>2248</v>
      </c>
      <c r="C28" s="1" t="s">
        <v>2096</v>
      </c>
      <c r="D28" s="3" t="s">
        <v>3489</v>
      </c>
      <c r="E28" s="1" t="s">
        <v>1113</v>
      </c>
      <c r="F28" s="1" t="s">
        <v>1144</v>
      </c>
      <c r="G28" s="1" t="s">
        <v>1540</v>
      </c>
      <c r="H28" s="1" t="s">
        <v>2052</v>
      </c>
      <c r="I28" s="1" t="s">
        <v>618</v>
      </c>
    </row>
    <row r="29" spans="1:9" x14ac:dyDescent="0.3">
      <c r="A29" s="3">
        <v>28</v>
      </c>
      <c r="B29" s="1" t="s">
        <v>2249</v>
      </c>
      <c r="C29" s="1" t="s">
        <v>147</v>
      </c>
      <c r="D29" s="3" t="s">
        <v>3490</v>
      </c>
      <c r="E29" s="1" t="s">
        <v>1118</v>
      </c>
      <c r="F29" s="1" t="s">
        <v>1145</v>
      </c>
      <c r="G29" s="1" t="s">
        <v>1536</v>
      </c>
      <c r="I29" s="1" t="s">
        <v>619</v>
      </c>
    </row>
    <row r="30" spans="1:9" x14ac:dyDescent="0.3">
      <c r="A30" s="3">
        <v>29</v>
      </c>
      <c r="B30" s="1" t="s">
        <v>2250</v>
      </c>
      <c r="C30" s="1" t="s">
        <v>2097</v>
      </c>
      <c r="D30" s="3" t="s">
        <v>3490</v>
      </c>
      <c r="E30" s="1" t="s">
        <v>1118</v>
      </c>
      <c r="F30" s="1" t="s">
        <v>1146</v>
      </c>
      <c r="G30" s="1" t="s">
        <v>1541</v>
      </c>
      <c r="H30" s="1" t="s">
        <v>2088</v>
      </c>
      <c r="I30" s="1" t="s">
        <v>620</v>
      </c>
    </row>
    <row r="31" spans="1:9" x14ac:dyDescent="0.3">
      <c r="A31" s="3">
        <v>30</v>
      </c>
      <c r="B31" s="1" t="s">
        <v>2251</v>
      </c>
      <c r="C31" s="1" t="s">
        <v>148</v>
      </c>
      <c r="D31" s="3" t="s">
        <v>3490</v>
      </c>
      <c r="E31" s="1" t="s">
        <v>1118</v>
      </c>
      <c r="F31" s="1" t="s">
        <v>1147</v>
      </c>
      <c r="G31" s="1" t="s">
        <v>1542</v>
      </c>
    </row>
    <row r="32" spans="1:9" x14ac:dyDescent="0.3">
      <c r="A32" s="3">
        <v>31</v>
      </c>
      <c r="B32" s="1" t="s">
        <v>2252</v>
      </c>
      <c r="C32" s="1" t="s">
        <v>149</v>
      </c>
      <c r="D32" s="3" t="s">
        <v>3490</v>
      </c>
      <c r="E32" s="1" t="s">
        <v>1118</v>
      </c>
      <c r="F32" s="1" t="s">
        <v>1143</v>
      </c>
      <c r="G32" s="1" t="s">
        <v>1543</v>
      </c>
      <c r="I32" s="1" t="s">
        <v>621</v>
      </c>
    </row>
    <row r="33" spans="1:9" x14ac:dyDescent="0.3">
      <c r="A33" s="3">
        <v>32</v>
      </c>
      <c r="B33" s="1" t="s">
        <v>2253</v>
      </c>
      <c r="C33" s="1" t="s">
        <v>150</v>
      </c>
      <c r="D33" s="3" t="s">
        <v>3490</v>
      </c>
      <c r="E33" s="1" t="s">
        <v>1118</v>
      </c>
      <c r="F33" s="1" t="s">
        <v>1148</v>
      </c>
      <c r="G33" s="1" t="s">
        <v>1544</v>
      </c>
      <c r="H33" s="1" t="s">
        <v>2052</v>
      </c>
      <c r="I33" s="1" t="s">
        <v>622</v>
      </c>
    </row>
    <row r="34" spans="1:9" x14ac:dyDescent="0.3">
      <c r="A34" s="3">
        <v>33</v>
      </c>
      <c r="B34" s="1" t="s">
        <v>2254</v>
      </c>
      <c r="C34" s="1" t="s">
        <v>2098</v>
      </c>
      <c r="D34" s="3" t="s">
        <v>3490</v>
      </c>
      <c r="E34" s="1" t="s">
        <v>1118</v>
      </c>
      <c r="F34" s="1" t="s">
        <v>1143</v>
      </c>
      <c r="G34" s="1" t="s">
        <v>1545</v>
      </c>
      <c r="H34" s="1" t="s">
        <v>2058</v>
      </c>
      <c r="I34" s="1" t="s">
        <v>623</v>
      </c>
    </row>
    <row r="35" spans="1:9" x14ac:dyDescent="0.3">
      <c r="A35" s="3">
        <v>34</v>
      </c>
      <c r="B35" s="1" t="s">
        <v>2255</v>
      </c>
      <c r="C35" s="1" t="s">
        <v>151</v>
      </c>
      <c r="D35" s="3" t="s">
        <v>3490</v>
      </c>
      <c r="E35" s="1" t="s">
        <v>1118</v>
      </c>
      <c r="F35" s="1" t="s">
        <v>1149</v>
      </c>
      <c r="G35" s="1" t="s">
        <v>1546</v>
      </c>
      <c r="H35" s="1" t="s">
        <v>2059</v>
      </c>
      <c r="I35" s="1" t="s">
        <v>624</v>
      </c>
    </row>
    <row r="36" spans="1:9" x14ac:dyDescent="0.3">
      <c r="A36" s="3">
        <v>35</v>
      </c>
      <c r="B36" s="1" t="s">
        <v>2256</v>
      </c>
      <c r="C36" s="1" t="s">
        <v>152</v>
      </c>
      <c r="D36" s="3" t="s">
        <v>3490</v>
      </c>
      <c r="E36" s="1" t="s">
        <v>1118</v>
      </c>
      <c r="F36" s="1" t="s">
        <v>1150</v>
      </c>
      <c r="G36" s="1" t="s">
        <v>1547</v>
      </c>
      <c r="I36" s="1" t="s">
        <v>625</v>
      </c>
    </row>
    <row r="37" spans="1:9" x14ac:dyDescent="0.3">
      <c r="A37" s="3">
        <v>36</v>
      </c>
      <c r="B37" s="1" t="s">
        <v>2257</v>
      </c>
      <c r="C37" s="1" t="s">
        <v>153</v>
      </c>
      <c r="D37" s="3" t="s">
        <v>3490</v>
      </c>
      <c r="E37" s="1" t="s">
        <v>1118</v>
      </c>
      <c r="F37" s="1" t="s">
        <v>1143</v>
      </c>
      <c r="G37" s="1" t="s">
        <v>1548</v>
      </c>
      <c r="I37" s="1" t="s">
        <v>626</v>
      </c>
    </row>
    <row r="38" spans="1:9" x14ac:dyDescent="0.3">
      <c r="A38" s="3">
        <v>37</v>
      </c>
      <c r="B38" s="1" t="s">
        <v>2258</v>
      </c>
      <c r="C38" s="1" t="s">
        <v>154</v>
      </c>
      <c r="D38" s="3" t="s">
        <v>3490</v>
      </c>
      <c r="E38" s="1" t="s">
        <v>1118</v>
      </c>
      <c r="F38" s="1" t="s">
        <v>1143</v>
      </c>
      <c r="G38" s="1" t="s">
        <v>1549</v>
      </c>
      <c r="H38" s="1" t="s">
        <v>2088</v>
      </c>
      <c r="I38" s="1" t="s">
        <v>627</v>
      </c>
    </row>
    <row r="39" spans="1:9" x14ac:dyDescent="0.3">
      <c r="A39" s="3">
        <v>38</v>
      </c>
      <c r="B39" s="1" t="s">
        <v>2259</v>
      </c>
      <c r="C39" s="1" t="s">
        <v>2099</v>
      </c>
      <c r="D39" s="3" t="s">
        <v>3490</v>
      </c>
      <c r="E39" s="1" t="s">
        <v>1118</v>
      </c>
      <c r="F39" s="1" t="s">
        <v>1151</v>
      </c>
      <c r="G39" s="1" t="s">
        <v>1550</v>
      </c>
      <c r="H39" s="1" t="s">
        <v>2053</v>
      </c>
      <c r="I39" s="1" t="s">
        <v>628</v>
      </c>
    </row>
    <row r="40" spans="1:9" x14ac:dyDescent="0.3">
      <c r="A40" s="3">
        <v>39</v>
      </c>
      <c r="B40" s="1" t="s">
        <v>2260</v>
      </c>
      <c r="C40" s="1" t="s">
        <v>352</v>
      </c>
      <c r="D40" s="3" t="s">
        <v>3489</v>
      </c>
      <c r="E40" s="1" t="s">
        <v>1118</v>
      </c>
      <c r="F40" s="1" t="s">
        <v>1152</v>
      </c>
      <c r="G40" s="1" t="s">
        <v>1551</v>
      </c>
      <c r="H40" s="1" t="s">
        <v>2052</v>
      </c>
      <c r="I40" s="1" t="s">
        <v>629</v>
      </c>
    </row>
    <row r="41" spans="1:9" x14ac:dyDescent="0.3">
      <c r="A41" s="3">
        <v>40</v>
      </c>
      <c r="B41" s="1" t="s">
        <v>2261</v>
      </c>
      <c r="C41" s="1" t="s">
        <v>155</v>
      </c>
      <c r="D41" s="3" t="s">
        <v>3489</v>
      </c>
      <c r="E41" s="1" t="s">
        <v>1118</v>
      </c>
      <c r="F41" s="1" t="s">
        <v>1153</v>
      </c>
      <c r="G41" s="1" t="s">
        <v>1552</v>
      </c>
      <c r="H41" s="1" t="s">
        <v>2052</v>
      </c>
      <c r="I41" s="1" t="s">
        <v>630</v>
      </c>
    </row>
    <row r="42" spans="1:9" x14ac:dyDescent="0.3">
      <c r="A42" s="3">
        <v>41</v>
      </c>
      <c r="B42" s="1" t="s">
        <v>2262</v>
      </c>
      <c r="C42" s="1" t="s">
        <v>156</v>
      </c>
      <c r="D42" s="3" t="s">
        <v>3489</v>
      </c>
      <c r="E42" s="1" t="s">
        <v>1117</v>
      </c>
      <c r="F42" s="1" t="s">
        <v>1154</v>
      </c>
      <c r="I42" s="1" t="s">
        <v>631</v>
      </c>
    </row>
    <row r="43" spans="1:9" x14ac:dyDescent="0.3">
      <c r="A43" s="3">
        <v>42</v>
      </c>
      <c r="B43" s="1" t="s">
        <v>2263</v>
      </c>
      <c r="C43" s="1" t="s">
        <v>157</v>
      </c>
      <c r="D43" s="3" t="s">
        <v>3489</v>
      </c>
      <c r="E43" s="1" t="s">
        <v>1118</v>
      </c>
      <c r="F43" s="1" t="s">
        <v>1155</v>
      </c>
      <c r="G43" s="1" t="s">
        <v>1553</v>
      </c>
      <c r="H43" s="1" t="s">
        <v>2052</v>
      </c>
      <c r="I43" s="1" t="s">
        <v>632</v>
      </c>
    </row>
    <row r="44" spans="1:9" x14ac:dyDescent="0.3">
      <c r="A44" s="3">
        <v>43</v>
      </c>
      <c r="B44" s="1" t="s">
        <v>2264</v>
      </c>
      <c r="C44" s="1" t="s">
        <v>2100</v>
      </c>
      <c r="D44" s="3" t="s">
        <v>3489</v>
      </c>
      <c r="E44" s="1" t="s">
        <v>1118</v>
      </c>
      <c r="F44" s="1" t="s">
        <v>1156</v>
      </c>
      <c r="G44" s="1" t="s">
        <v>1554</v>
      </c>
      <c r="I44" s="1" t="s">
        <v>633</v>
      </c>
    </row>
    <row r="45" spans="1:9" x14ac:dyDescent="0.3">
      <c r="A45" s="3">
        <v>44</v>
      </c>
      <c r="B45" s="1" t="s">
        <v>2265</v>
      </c>
      <c r="C45" s="1" t="s">
        <v>476</v>
      </c>
      <c r="D45" s="3" t="s">
        <v>3490</v>
      </c>
      <c r="E45" s="1" t="s">
        <v>1118</v>
      </c>
      <c r="F45" s="1" t="s">
        <v>1157</v>
      </c>
      <c r="G45" s="1" t="s">
        <v>1555</v>
      </c>
      <c r="H45" s="1" t="s">
        <v>2052</v>
      </c>
      <c r="I45" s="1" t="s">
        <v>634</v>
      </c>
    </row>
    <row r="46" spans="1:9" x14ac:dyDescent="0.3">
      <c r="A46" s="3">
        <v>45</v>
      </c>
      <c r="B46" s="1" t="s">
        <v>2266</v>
      </c>
      <c r="C46" s="1" t="s">
        <v>158</v>
      </c>
      <c r="D46" s="3" t="s">
        <v>3490</v>
      </c>
      <c r="E46" s="1" t="s">
        <v>1118</v>
      </c>
      <c r="F46" s="1" t="s">
        <v>1149</v>
      </c>
      <c r="G46" s="1" t="s">
        <v>1556</v>
      </c>
      <c r="H46" s="1" t="s">
        <v>2088</v>
      </c>
      <c r="I46" s="1" t="s">
        <v>635</v>
      </c>
    </row>
    <row r="47" spans="1:9" x14ac:dyDescent="0.3">
      <c r="A47" s="3">
        <v>46</v>
      </c>
      <c r="B47" s="1" t="s">
        <v>2267</v>
      </c>
      <c r="C47" s="1" t="s">
        <v>159</v>
      </c>
      <c r="D47" s="3" t="s">
        <v>3490</v>
      </c>
      <c r="E47" s="1" t="s">
        <v>1117</v>
      </c>
      <c r="F47" s="1" t="s">
        <v>1158</v>
      </c>
      <c r="G47" s="1" t="s">
        <v>1557</v>
      </c>
      <c r="H47" s="1" t="s">
        <v>704</v>
      </c>
      <c r="I47" s="1" t="s">
        <v>636</v>
      </c>
    </row>
    <row r="48" spans="1:9" x14ac:dyDescent="0.3">
      <c r="A48" s="3">
        <v>47</v>
      </c>
      <c r="B48" s="1" t="s">
        <v>2268</v>
      </c>
      <c r="C48" s="1" t="s">
        <v>2101</v>
      </c>
      <c r="D48" s="3" t="s">
        <v>3490</v>
      </c>
      <c r="E48" s="1" t="s">
        <v>1118</v>
      </c>
      <c r="F48" s="1" t="s">
        <v>1159</v>
      </c>
      <c r="G48" s="1" t="s">
        <v>1558</v>
      </c>
      <c r="I48" s="1" t="s">
        <v>637</v>
      </c>
    </row>
    <row r="49" spans="1:9" x14ac:dyDescent="0.3">
      <c r="A49" s="3">
        <v>48</v>
      </c>
      <c r="B49" s="1" t="s">
        <v>2269</v>
      </c>
      <c r="C49" s="1" t="s">
        <v>160</v>
      </c>
      <c r="D49" s="3" t="s">
        <v>3490</v>
      </c>
      <c r="E49" s="1" t="s">
        <v>1118</v>
      </c>
      <c r="F49" s="1" t="s">
        <v>1121</v>
      </c>
      <c r="G49" s="1" t="s">
        <v>1559</v>
      </c>
      <c r="I49" s="1" t="s">
        <v>638</v>
      </c>
    </row>
    <row r="50" spans="1:9" x14ac:dyDescent="0.3">
      <c r="A50" s="3">
        <v>49</v>
      </c>
      <c r="B50" s="1" t="s">
        <v>2270</v>
      </c>
      <c r="C50" s="1" t="s">
        <v>161</v>
      </c>
      <c r="D50" s="3" t="s">
        <v>3490</v>
      </c>
      <c r="E50" s="1" t="s">
        <v>1118</v>
      </c>
      <c r="F50" s="1" t="s">
        <v>1160</v>
      </c>
      <c r="G50" s="1" t="s">
        <v>1560</v>
      </c>
      <c r="H50" s="1" t="s">
        <v>2052</v>
      </c>
      <c r="I50" s="1" t="s">
        <v>639</v>
      </c>
    </row>
    <row r="51" spans="1:9" x14ac:dyDescent="0.3">
      <c r="A51" s="3">
        <v>50</v>
      </c>
      <c r="B51" s="1" t="s">
        <v>2271</v>
      </c>
      <c r="C51" s="1" t="s">
        <v>162</v>
      </c>
      <c r="D51" s="3" t="s">
        <v>3489</v>
      </c>
      <c r="E51" s="1" t="s">
        <v>1118</v>
      </c>
      <c r="F51" s="1" t="s">
        <v>1161</v>
      </c>
      <c r="G51" s="1" t="s">
        <v>1561</v>
      </c>
      <c r="I51" s="1" t="s">
        <v>640</v>
      </c>
    </row>
    <row r="52" spans="1:9" x14ac:dyDescent="0.3">
      <c r="A52" s="3">
        <v>51</v>
      </c>
      <c r="B52" s="1" t="s">
        <v>2272</v>
      </c>
      <c r="C52" s="1" t="s">
        <v>163</v>
      </c>
      <c r="D52" s="3" t="s">
        <v>3490</v>
      </c>
      <c r="E52" s="1" t="s">
        <v>1118</v>
      </c>
      <c r="F52" s="1" t="s">
        <v>11</v>
      </c>
      <c r="G52" s="1" t="s">
        <v>1562</v>
      </c>
      <c r="I52" s="1" t="s">
        <v>641</v>
      </c>
    </row>
    <row r="53" spans="1:9" x14ac:dyDescent="0.3">
      <c r="A53" s="3">
        <v>52</v>
      </c>
      <c r="B53" s="1" t="s">
        <v>2273</v>
      </c>
      <c r="C53" s="1" t="s">
        <v>164</v>
      </c>
      <c r="D53" s="3" t="s">
        <v>3490</v>
      </c>
      <c r="E53" s="1" t="s">
        <v>1118</v>
      </c>
      <c r="F53" s="1" t="s">
        <v>1162</v>
      </c>
      <c r="G53" s="1" t="s">
        <v>1563</v>
      </c>
      <c r="H53" s="1" t="s">
        <v>2052</v>
      </c>
      <c r="I53" s="1" t="s">
        <v>642</v>
      </c>
    </row>
    <row r="54" spans="1:9" x14ac:dyDescent="0.3">
      <c r="A54" s="3">
        <v>53</v>
      </c>
      <c r="B54" s="1" t="s">
        <v>2274</v>
      </c>
      <c r="C54" s="1" t="s">
        <v>165</v>
      </c>
      <c r="D54" s="3" t="s">
        <v>3489</v>
      </c>
      <c r="E54" s="1" t="s">
        <v>1118</v>
      </c>
      <c r="F54" s="1" t="s">
        <v>1163</v>
      </c>
      <c r="G54" s="1" t="s">
        <v>1561</v>
      </c>
      <c r="I54" s="1" t="s">
        <v>643</v>
      </c>
    </row>
    <row r="55" spans="1:9" x14ac:dyDescent="0.3">
      <c r="A55" s="3">
        <v>54</v>
      </c>
      <c r="B55" s="1" t="s">
        <v>2275</v>
      </c>
      <c r="C55" s="1" t="s">
        <v>166</v>
      </c>
      <c r="D55" s="3" t="s">
        <v>3490</v>
      </c>
      <c r="E55" s="1" t="s">
        <v>1113</v>
      </c>
      <c r="F55" s="1" t="s">
        <v>11</v>
      </c>
      <c r="G55" s="1" t="s">
        <v>1564</v>
      </c>
      <c r="I55" s="1" t="s">
        <v>644</v>
      </c>
    </row>
    <row r="56" spans="1:9" x14ac:dyDescent="0.3">
      <c r="A56" s="3">
        <v>55</v>
      </c>
      <c r="B56" s="1" t="s">
        <v>2276</v>
      </c>
      <c r="C56" s="1" t="s">
        <v>167</v>
      </c>
      <c r="D56" s="3" t="s">
        <v>3490</v>
      </c>
      <c r="E56" s="1" t="s">
        <v>1113</v>
      </c>
      <c r="F56" s="1" t="s">
        <v>30</v>
      </c>
      <c r="G56" s="1" t="s">
        <v>1565</v>
      </c>
      <c r="H56" s="1" t="s">
        <v>2052</v>
      </c>
      <c r="I56" s="1" t="s">
        <v>645</v>
      </c>
    </row>
    <row r="57" spans="1:9" x14ac:dyDescent="0.3">
      <c r="A57" s="3">
        <v>56</v>
      </c>
      <c r="B57" s="1" t="s">
        <v>2277</v>
      </c>
      <c r="C57" s="1" t="s">
        <v>168</v>
      </c>
      <c r="D57" s="3" t="s">
        <v>3490</v>
      </c>
      <c r="E57" s="1" t="s">
        <v>1118</v>
      </c>
      <c r="F57" s="1" t="s">
        <v>1164</v>
      </c>
      <c r="G57" s="1" t="s">
        <v>1566</v>
      </c>
      <c r="H57" s="1" t="s">
        <v>2052</v>
      </c>
      <c r="I57" s="1" t="s">
        <v>646</v>
      </c>
    </row>
    <row r="58" spans="1:9" x14ac:dyDescent="0.3">
      <c r="A58" s="3">
        <v>57</v>
      </c>
      <c r="B58" s="1" t="s">
        <v>2278</v>
      </c>
      <c r="C58" s="1" t="s">
        <v>169</v>
      </c>
      <c r="D58" s="3" t="s">
        <v>3489</v>
      </c>
      <c r="E58" s="1" t="s">
        <v>1118</v>
      </c>
      <c r="F58" s="1" t="s">
        <v>1165</v>
      </c>
      <c r="G58" s="1" t="s">
        <v>1567</v>
      </c>
      <c r="I58" s="1" t="s">
        <v>647</v>
      </c>
    </row>
    <row r="59" spans="1:9" x14ac:dyDescent="0.3">
      <c r="A59" s="3">
        <v>58</v>
      </c>
      <c r="B59" s="1" t="s">
        <v>2279</v>
      </c>
      <c r="C59" s="1" t="s">
        <v>170</v>
      </c>
      <c r="D59" s="3" t="s">
        <v>3490</v>
      </c>
      <c r="E59" s="1" t="s">
        <v>1118</v>
      </c>
      <c r="F59" s="1" t="s">
        <v>1166</v>
      </c>
      <c r="G59" s="1" t="s">
        <v>1568</v>
      </c>
      <c r="I59" s="1" t="s">
        <v>648</v>
      </c>
    </row>
    <row r="60" spans="1:9" x14ac:dyDescent="0.3">
      <c r="A60" s="3">
        <v>59</v>
      </c>
      <c r="B60" s="1" t="s">
        <v>2280</v>
      </c>
      <c r="C60" s="1" t="s">
        <v>171</v>
      </c>
      <c r="D60" s="3" t="s">
        <v>3490</v>
      </c>
      <c r="E60" s="1" t="s">
        <v>1118</v>
      </c>
      <c r="F60" s="1" t="s">
        <v>1133</v>
      </c>
      <c r="G60" s="1" t="s">
        <v>1569</v>
      </c>
    </row>
    <row r="61" spans="1:9" x14ac:dyDescent="0.3">
      <c r="A61" s="3">
        <v>60</v>
      </c>
      <c r="B61" s="1" t="s">
        <v>2281</v>
      </c>
      <c r="C61" s="1" t="s">
        <v>172</v>
      </c>
      <c r="D61" s="3" t="s">
        <v>3489</v>
      </c>
      <c r="E61" s="1" t="s">
        <v>1118</v>
      </c>
      <c r="F61" s="1" t="s">
        <v>59</v>
      </c>
      <c r="G61" s="1" t="s">
        <v>1570</v>
      </c>
      <c r="H61" s="1" t="s">
        <v>2052</v>
      </c>
      <c r="I61" s="1" t="s">
        <v>649</v>
      </c>
    </row>
    <row r="62" spans="1:9" x14ac:dyDescent="0.3">
      <c r="A62" s="3">
        <v>61</v>
      </c>
      <c r="B62" s="1" t="s">
        <v>2282</v>
      </c>
      <c r="C62" s="1" t="s">
        <v>173</v>
      </c>
      <c r="D62" s="3" t="s">
        <v>3490</v>
      </c>
      <c r="E62" s="1" t="s">
        <v>1118</v>
      </c>
      <c r="F62" s="1" t="s">
        <v>1167</v>
      </c>
      <c r="G62" s="1" t="s">
        <v>1571</v>
      </c>
      <c r="I62" s="1" t="s">
        <v>650</v>
      </c>
    </row>
    <row r="63" spans="1:9" x14ac:dyDescent="0.3">
      <c r="A63" s="3">
        <v>62</v>
      </c>
      <c r="B63" s="1" t="s">
        <v>2283</v>
      </c>
      <c r="C63" s="1" t="s">
        <v>2102</v>
      </c>
      <c r="D63" s="3" t="s">
        <v>3490</v>
      </c>
      <c r="E63" s="1" t="s">
        <v>1118</v>
      </c>
      <c r="F63" s="1" t="s">
        <v>1168</v>
      </c>
      <c r="G63" s="1" t="s">
        <v>1572</v>
      </c>
      <c r="H63" s="1" t="s">
        <v>2052</v>
      </c>
      <c r="I63" s="1" t="s">
        <v>651</v>
      </c>
    </row>
    <row r="64" spans="1:9" x14ac:dyDescent="0.3">
      <c r="A64" s="3">
        <v>63</v>
      </c>
      <c r="B64" s="1" t="s">
        <v>2284</v>
      </c>
      <c r="C64" s="1" t="s">
        <v>174</v>
      </c>
      <c r="D64" s="3" t="s">
        <v>3490</v>
      </c>
      <c r="E64" s="1" t="s">
        <v>1113</v>
      </c>
      <c r="F64" s="1" t="s">
        <v>1169</v>
      </c>
      <c r="G64" s="1" t="s">
        <v>1573</v>
      </c>
      <c r="H64" s="1" t="s">
        <v>2052</v>
      </c>
      <c r="I64" s="1" t="s">
        <v>652</v>
      </c>
    </row>
    <row r="65" spans="1:9" x14ac:dyDescent="0.3">
      <c r="A65" s="3">
        <v>64</v>
      </c>
      <c r="B65" s="1" t="s">
        <v>2285</v>
      </c>
      <c r="C65" s="1" t="s">
        <v>2103</v>
      </c>
      <c r="D65" s="3" t="s">
        <v>3489</v>
      </c>
      <c r="E65" s="1" t="s">
        <v>1114</v>
      </c>
      <c r="F65" s="1" t="s">
        <v>1170</v>
      </c>
      <c r="G65" s="1" t="s">
        <v>1574</v>
      </c>
      <c r="I65" s="1" t="s">
        <v>653</v>
      </c>
    </row>
    <row r="66" spans="1:9" x14ac:dyDescent="0.3">
      <c r="A66" s="3">
        <v>65</v>
      </c>
      <c r="B66" s="1" t="s">
        <v>2286</v>
      </c>
      <c r="C66" s="1" t="s">
        <v>2104</v>
      </c>
      <c r="D66" s="3" t="s">
        <v>3490</v>
      </c>
      <c r="E66" s="1" t="s">
        <v>1118</v>
      </c>
      <c r="F66" s="1" t="s">
        <v>1171</v>
      </c>
      <c r="G66" s="1" t="s">
        <v>1575</v>
      </c>
      <c r="I66" s="1" t="s">
        <v>654</v>
      </c>
    </row>
    <row r="67" spans="1:9" x14ac:dyDescent="0.3">
      <c r="A67" s="3">
        <v>66</v>
      </c>
      <c r="B67" s="1" t="s">
        <v>2287</v>
      </c>
      <c r="C67" s="1" t="s">
        <v>175</v>
      </c>
      <c r="D67" s="3" t="s">
        <v>3490</v>
      </c>
      <c r="E67" s="1" t="s">
        <v>1118</v>
      </c>
      <c r="F67" s="1" t="s">
        <v>1172</v>
      </c>
      <c r="G67" s="1" t="s">
        <v>1576</v>
      </c>
      <c r="H67" s="1" t="s">
        <v>2060</v>
      </c>
      <c r="I67" s="1" t="s">
        <v>655</v>
      </c>
    </row>
    <row r="68" spans="1:9" x14ac:dyDescent="0.3">
      <c r="A68" s="3">
        <v>67</v>
      </c>
      <c r="B68" s="1" t="s">
        <v>2288</v>
      </c>
      <c r="C68" s="1" t="s">
        <v>176</v>
      </c>
      <c r="D68" s="3" t="s">
        <v>3490</v>
      </c>
      <c r="E68" s="1" t="s">
        <v>1118</v>
      </c>
      <c r="F68" s="1" t="s">
        <v>1173</v>
      </c>
      <c r="G68" s="1" t="s">
        <v>1577</v>
      </c>
      <c r="H68" s="1" t="s">
        <v>2052</v>
      </c>
      <c r="I68" s="1" t="s">
        <v>656</v>
      </c>
    </row>
    <row r="69" spans="1:9" x14ac:dyDescent="0.3">
      <c r="A69" s="3">
        <v>68</v>
      </c>
      <c r="B69" s="1" t="s">
        <v>2289</v>
      </c>
      <c r="C69" s="1" t="s">
        <v>2105</v>
      </c>
      <c r="D69" s="3" t="s">
        <v>3490</v>
      </c>
      <c r="E69" s="1" t="s">
        <v>1113</v>
      </c>
      <c r="F69" s="1" t="s">
        <v>28</v>
      </c>
      <c r="G69" s="1" t="s">
        <v>1578</v>
      </c>
      <c r="I69" s="1" t="s">
        <v>657</v>
      </c>
    </row>
    <row r="70" spans="1:9" x14ac:dyDescent="0.3">
      <c r="A70" s="3">
        <v>69</v>
      </c>
      <c r="B70" s="1" t="s">
        <v>2290</v>
      </c>
      <c r="C70" s="1" t="s">
        <v>2106</v>
      </c>
      <c r="D70" s="3" t="s">
        <v>3490</v>
      </c>
      <c r="E70" s="1" t="s">
        <v>1118</v>
      </c>
      <c r="F70" s="1" t="s">
        <v>28</v>
      </c>
      <c r="G70" s="1" t="s">
        <v>1579</v>
      </c>
      <c r="H70" s="1" t="s">
        <v>2052</v>
      </c>
      <c r="I70" s="1" t="s">
        <v>658</v>
      </c>
    </row>
    <row r="71" spans="1:9" x14ac:dyDescent="0.3">
      <c r="A71" s="3">
        <v>70</v>
      </c>
      <c r="B71" s="1" t="s">
        <v>2291</v>
      </c>
      <c r="C71" s="1" t="s">
        <v>177</v>
      </c>
      <c r="D71" s="3" t="s">
        <v>3490</v>
      </c>
      <c r="E71" s="1" t="s">
        <v>1118</v>
      </c>
      <c r="F71" s="1" t="s">
        <v>1174</v>
      </c>
      <c r="G71" s="1" t="s">
        <v>1580</v>
      </c>
      <c r="H71" s="1" t="s">
        <v>2052</v>
      </c>
      <c r="I71" s="1" t="s">
        <v>659</v>
      </c>
    </row>
    <row r="72" spans="1:9" x14ac:dyDescent="0.3">
      <c r="A72" s="3">
        <v>71</v>
      </c>
      <c r="B72" s="1" t="s">
        <v>2292</v>
      </c>
      <c r="C72" s="1" t="s">
        <v>2107</v>
      </c>
      <c r="D72" s="3" t="s">
        <v>3490</v>
      </c>
      <c r="E72" s="1" t="s">
        <v>1118</v>
      </c>
      <c r="F72" s="1" t="s">
        <v>1175</v>
      </c>
      <c r="G72" s="1" t="s">
        <v>1581</v>
      </c>
      <c r="H72" s="1" t="s">
        <v>2061</v>
      </c>
      <c r="I72" s="1" t="s">
        <v>660</v>
      </c>
    </row>
    <row r="73" spans="1:9" x14ac:dyDescent="0.3">
      <c r="A73" s="3">
        <v>72</v>
      </c>
      <c r="B73" s="1" t="s">
        <v>2293</v>
      </c>
      <c r="C73" s="1" t="s">
        <v>178</v>
      </c>
      <c r="D73" s="3" t="s">
        <v>3490</v>
      </c>
      <c r="E73" s="1" t="s">
        <v>1118</v>
      </c>
      <c r="F73" s="1" t="s">
        <v>65</v>
      </c>
      <c r="G73" s="1" t="s">
        <v>1582</v>
      </c>
      <c r="H73" s="1" t="s">
        <v>2056</v>
      </c>
      <c r="I73" s="1" t="s">
        <v>661</v>
      </c>
    </row>
    <row r="74" spans="1:9" x14ac:dyDescent="0.3">
      <c r="A74" s="3">
        <v>73</v>
      </c>
      <c r="B74" s="1" t="s">
        <v>2294</v>
      </c>
      <c r="C74" s="1" t="s">
        <v>2108</v>
      </c>
      <c r="D74" s="3" t="s">
        <v>3490</v>
      </c>
      <c r="E74" s="1" t="s">
        <v>1113</v>
      </c>
      <c r="F74" s="1" t="s">
        <v>28</v>
      </c>
      <c r="G74" s="1" t="s">
        <v>1583</v>
      </c>
      <c r="I74" s="1" t="s">
        <v>662</v>
      </c>
    </row>
    <row r="75" spans="1:9" x14ac:dyDescent="0.3">
      <c r="A75" s="3">
        <v>74</v>
      </c>
      <c r="B75" s="1" t="s">
        <v>2295</v>
      </c>
      <c r="C75" s="1" t="s">
        <v>179</v>
      </c>
      <c r="D75" s="3" t="s">
        <v>3489</v>
      </c>
      <c r="E75" s="1" t="s">
        <v>1114</v>
      </c>
      <c r="F75" s="1" t="s">
        <v>1176</v>
      </c>
      <c r="G75" s="1" t="s">
        <v>1584</v>
      </c>
      <c r="I75" s="1" t="s">
        <v>663</v>
      </c>
    </row>
    <row r="76" spans="1:9" x14ac:dyDescent="0.3">
      <c r="A76" s="3">
        <v>75</v>
      </c>
      <c r="B76" s="1" t="s">
        <v>2296</v>
      </c>
      <c r="C76" s="1" t="s">
        <v>180</v>
      </c>
      <c r="D76" s="3" t="s">
        <v>3490</v>
      </c>
      <c r="E76" s="1" t="s">
        <v>1118</v>
      </c>
      <c r="F76" s="1" t="s">
        <v>1177</v>
      </c>
      <c r="G76" s="1" t="s">
        <v>1585</v>
      </c>
      <c r="I76" s="1" t="s">
        <v>664</v>
      </c>
    </row>
    <row r="77" spans="1:9" x14ac:dyDescent="0.3">
      <c r="A77" s="3">
        <v>76</v>
      </c>
      <c r="B77" s="1" t="s">
        <v>2297</v>
      </c>
      <c r="C77" s="1" t="s">
        <v>181</v>
      </c>
      <c r="D77" s="3" t="s">
        <v>3490</v>
      </c>
      <c r="E77" s="1" t="s">
        <v>1113</v>
      </c>
      <c r="F77" s="1" t="s">
        <v>1178</v>
      </c>
      <c r="G77" s="1" t="s">
        <v>1586</v>
      </c>
      <c r="I77" s="1" t="s">
        <v>665</v>
      </c>
    </row>
    <row r="78" spans="1:9" x14ac:dyDescent="0.3">
      <c r="A78" s="3">
        <v>77</v>
      </c>
      <c r="B78" s="1" t="s">
        <v>2298</v>
      </c>
      <c r="C78" s="1" t="s">
        <v>2109</v>
      </c>
      <c r="D78" s="3" t="s">
        <v>3490</v>
      </c>
      <c r="E78" s="1" t="s">
        <v>1118</v>
      </c>
      <c r="F78" s="1" t="s">
        <v>1179</v>
      </c>
      <c r="G78" s="1" t="s">
        <v>1587</v>
      </c>
      <c r="I78" s="1" t="s">
        <v>666</v>
      </c>
    </row>
    <row r="79" spans="1:9" x14ac:dyDescent="0.3">
      <c r="A79" s="3">
        <v>78</v>
      </c>
      <c r="B79" s="1" t="s">
        <v>2299</v>
      </c>
      <c r="C79" s="1" t="s">
        <v>182</v>
      </c>
      <c r="D79" s="3" t="s">
        <v>3490</v>
      </c>
      <c r="E79" s="1" t="s">
        <v>1118</v>
      </c>
      <c r="F79" s="1" t="s">
        <v>1180</v>
      </c>
      <c r="G79" s="1" t="s">
        <v>1588</v>
      </c>
      <c r="H79" s="1" t="s">
        <v>2052</v>
      </c>
      <c r="I79" s="1" t="s">
        <v>667</v>
      </c>
    </row>
    <row r="80" spans="1:9" x14ac:dyDescent="0.3">
      <c r="A80" s="3">
        <v>79</v>
      </c>
      <c r="B80" s="1" t="s">
        <v>2300</v>
      </c>
      <c r="C80" s="1" t="s">
        <v>183</v>
      </c>
      <c r="D80" s="3" t="s">
        <v>3490</v>
      </c>
      <c r="E80" s="1" t="s">
        <v>1113</v>
      </c>
      <c r="F80" s="1" t="s">
        <v>1181</v>
      </c>
      <c r="G80" s="1" t="s">
        <v>1589</v>
      </c>
      <c r="I80" s="1" t="s">
        <v>668</v>
      </c>
    </row>
    <row r="81" spans="1:9" x14ac:dyDescent="0.3">
      <c r="A81" s="3">
        <v>80</v>
      </c>
      <c r="B81" s="1" t="s">
        <v>2301</v>
      </c>
      <c r="C81" s="1" t="s">
        <v>184</v>
      </c>
      <c r="D81" s="3" t="s">
        <v>3489</v>
      </c>
      <c r="E81" s="1" t="s">
        <v>1118</v>
      </c>
      <c r="F81" s="1" t="s">
        <v>1182</v>
      </c>
      <c r="G81" s="1" t="s">
        <v>1590</v>
      </c>
      <c r="I81" s="1" t="s">
        <v>669</v>
      </c>
    </row>
    <row r="82" spans="1:9" x14ac:dyDescent="0.3">
      <c r="A82" s="3">
        <v>81</v>
      </c>
      <c r="B82" s="1" t="s">
        <v>2302</v>
      </c>
      <c r="C82" s="1" t="s">
        <v>185</v>
      </c>
      <c r="D82" s="3" t="s">
        <v>3490</v>
      </c>
      <c r="E82" s="1" t="s">
        <v>1118</v>
      </c>
      <c r="F82" s="1" t="s">
        <v>1183</v>
      </c>
      <c r="G82" s="1" t="s">
        <v>1591</v>
      </c>
      <c r="I82" s="1" t="s">
        <v>670</v>
      </c>
    </row>
    <row r="83" spans="1:9" x14ac:dyDescent="0.3">
      <c r="A83" s="3">
        <v>82</v>
      </c>
      <c r="B83" s="1" t="s">
        <v>2303</v>
      </c>
      <c r="C83" s="1" t="s">
        <v>186</v>
      </c>
      <c r="D83" s="3" t="s">
        <v>3490</v>
      </c>
      <c r="E83" s="1" t="s">
        <v>1113</v>
      </c>
      <c r="F83" s="1" t="s">
        <v>1184</v>
      </c>
      <c r="G83" s="1" t="s">
        <v>1592</v>
      </c>
      <c r="I83" s="1" t="s">
        <v>671</v>
      </c>
    </row>
    <row r="84" spans="1:9" x14ac:dyDescent="0.3">
      <c r="A84" s="3">
        <v>83</v>
      </c>
      <c r="B84" s="1" t="s">
        <v>2304</v>
      </c>
      <c r="C84" s="1" t="s">
        <v>187</v>
      </c>
      <c r="D84" s="3" t="s">
        <v>3490</v>
      </c>
      <c r="E84" s="1" t="s">
        <v>1113</v>
      </c>
      <c r="F84" s="1" t="s">
        <v>1181</v>
      </c>
      <c r="G84" s="1" t="s">
        <v>1590</v>
      </c>
      <c r="I84" s="1" t="s">
        <v>672</v>
      </c>
    </row>
    <row r="85" spans="1:9" x14ac:dyDescent="0.3">
      <c r="A85" s="3">
        <v>84</v>
      </c>
      <c r="B85" s="1" t="s">
        <v>2305</v>
      </c>
      <c r="C85" s="1" t="s">
        <v>188</v>
      </c>
      <c r="D85" s="3" t="s">
        <v>3490</v>
      </c>
      <c r="E85" s="1" t="s">
        <v>1118</v>
      </c>
      <c r="F85" s="1" t="s">
        <v>1185</v>
      </c>
      <c r="G85" s="1" t="s">
        <v>1593</v>
      </c>
      <c r="I85" s="1" t="s">
        <v>673</v>
      </c>
    </row>
    <row r="86" spans="1:9" x14ac:dyDescent="0.3">
      <c r="A86" s="3">
        <v>85</v>
      </c>
      <c r="B86" s="1" t="s">
        <v>2306</v>
      </c>
      <c r="C86" s="1" t="s">
        <v>189</v>
      </c>
      <c r="D86" s="3" t="s">
        <v>3489</v>
      </c>
      <c r="E86" s="1" t="s">
        <v>1118</v>
      </c>
      <c r="F86" s="1" t="s">
        <v>1166</v>
      </c>
      <c r="G86" s="1" t="s">
        <v>1594</v>
      </c>
      <c r="H86" s="1" t="s">
        <v>2052</v>
      </c>
      <c r="I86" s="1" t="s">
        <v>674</v>
      </c>
    </row>
    <row r="87" spans="1:9" x14ac:dyDescent="0.3">
      <c r="A87" s="3">
        <v>86</v>
      </c>
      <c r="B87" s="1" t="s">
        <v>2307</v>
      </c>
      <c r="C87" s="1" t="s">
        <v>190</v>
      </c>
      <c r="D87" s="3" t="s">
        <v>3490</v>
      </c>
      <c r="E87" s="1" t="s">
        <v>1118</v>
      </c>
      <c r="F87" s="1" t="s">
        <v>1186</v>
      </c>
      <c r="G87" s="1" t="s">
        <v>1595</v>
      </c>
      <c r="I87" s="1" t="s">
        <v>675</v>
      </c>
    </row>
    <row r="88" spans="1:9" x14ac:dyDescent="0.3">
      <c r="A88" s="3">
        <v>87</v>
      </c>
      <c r="B88" s="1" t="s">
        <v>2308</v>
      </c>
      <c r="C88" s="1" t="s">
        <v>191</v>
      </c>
      <c r="D88" s="3" t="s">
        <v>3490</v>
      </c>
      <c r="E88" s="1" t="s">
        <v>1118</v>
      </c>
      <c r="F88" s="1" t="s">
        <v>1186</v>
      </c>
    </row>
    <row r="89" spans="1:9" x14ac:dyDescent="0.3">
      <c r="A89" s="3">
        <v>88</v>
      </c>
      <c r="B89" s="1" t="s">
        <v>2309</v>
      </c>
      <c r="C89" s="1" t="s">
        <v>192</v>
      </c>
      <c r="D89" s="3" t="s">
        <v>3490</v>
      </c>
      <c r="E89" s="1" t="s">
        <v>1118</v>
      </c>
      <c r="F89" s="1" t="s">
        <v>1187</v>
      </c>
      <c r="G89" s="1" t="s">
        <v>1596</v>
      </c>
      <c r="H89" s="1" t="s">
        <v>2052</v>
      </c>
      <c r="I89" s="1" t="s">
        <v>676</v>
      </c>
    </row>
    <row r="90" spans="1:9" x14ac:dyDescent="0.3">
      <c r="A90" s="3">
        <v>89</v>
      </c>
      <c r="B90" s="1" t="s">
        <v>2310</v>
      </c>
      <c r="C90" s="1" t="s">
        <v>2110</v>
      </c>
      <c r="D90" s="3" t="s">
        <v>3490</v>
      </c>
      <c r="E90" s="1" t="s">
        <v>1118</v>
      </c>
      <c r="F90" s="1" t="s">
        <v>1188</v>
      </c>
      <c r="G90" s="1" t="s">
        <v>1597</v>
      </c>
      <c r="I90" s="1" t="s">
        <v>677</v>
      </c>
    </row>
    <row r="91" spans="1:9" x14ac:dyDescent="0.3">
      <c r="A91" s="3">
        <v>90</v>
      </c>
      <c r="B91" s="1" t="s">
        <v>2311</v>
      </c>
      <c r="C91" s="1" t="s">
        <v>193</v>
      </c>
      <c r="D91" s="3" t="s">
        <v>3489</v>
      </c>
      <c r="E91" s="1" t="s">
        <v>1118</v>
      </c>
      <c r="F91" s="1" t="s">
        <v>1189</v>
      </c>
      <c r="G91" s="1" t="s">
        <v>1598</v>
      </c>
      <c r="H91" s="1" t="s">
        <v>2052</v>
      </c>
      <c r="I91" s="1" t="s">
        <v>678</v>
      </c>
    </row>
    <row r="92" spans="1:9" x14ac:dyDescent="0.3">
      <c r="A92" s="3">
        <v>91</v>
      </c>
      <c r="B92" s="1" t="s">
        <v>2312</v>
      </c>
      <c r="C92" s="1" t="s">
        <v>194</v>
      </c>
      <c r="D92" s="3" t="s">
        <v>3490</v>
      </c>
      <c r="E92" s="1" t="s">
        <v>1118</v>
      </c>
      <c r="F92" s="1" t="s">
        <v>1190</v>
      </c>
      <c r="G92" s="1" t="s">
        <v>1599</v>
      </c>
      <c r="H92" s="1" t="s">
        <v>2057</v>
      </c>
      <c r="I92" s="1" t="s">
        <v>679</v>
      </c>
    </row>
    <row r="93" spans="1:9" x14ac:dyDescent="0.3">
      <c r="A93" s="3">
        <v>92</v>
      </c>
      <c r="B93" s="1" t="s">
        <v>2313</v>
      </c>
      <c r="C93" s="1" t="s">
        <v>2111</v>
      </c>
      <c r="D93" s="3" t="s">
        <v>3490</v>
      </c>
      <c r="E93" s="1" t="s">
        <v>1118</v>
      </c>
      <c r="F93" s="1" t="s">
        <v>1191</v>
      </c>
      <c r="G93" s="1" t="s">
        <v>1600</v>
      </c>
      <c r="I93" s="1" t="s">
        <v>680</v>
      </c>
    </row>
    <row r="94" spans="1:9" x14ac:dyDescent="0.3">
      <c r="A94" s="3">
        <v>93</v>
      </c>
      <c r="B94" s="1" t="s">
        <v>2314</v>
      </c>
      <c r="C94" s="1" t="s">
        <v>195</v>
      </c>
      <c r="D94" s="3" t="s">
        <v>3490</v>
      </c>
      <c r="E94" s="1" t="s">
        <v>1118</v>
      </c>
      <c r="F94" s="1" t="s">
        <v>1192</v>
      </c>
      <c r="G94" s="1" t="s">
        <v>1601</v>
      </c>
      <c r="H94" s="1" t="s">
        <v>2052</v>
      </c>
      <c r="I94" s="1" t="s">
        <v>681</v>
      </c>
    </row>
    <row r="95" spans="1:9" x14ac:dyDescent="0.3">
      <c r="A95" s="3">
        <v>94</v>
      </c>
      <c r="B95" s="1" t="s">
        <v>2315</v>
      </c>
      <c r="C95" s="1" t="s">
        <v>196</v>
      </c>
      <c r="D95" s="3" t="s">
        <v>3490</v>
      </c>
      <c r="E95" s="1" t="s">
        <v>1118</v>
      </c>
      <c r="F95" s="1" t="s">
        <v>1193</v>
      </c>
      <c r="G95" s="1" t="s">
        <v>1602</v>
      </c>
      <c r="I95" s="1" t="s">
        <v>682</v>
      </c>
    </row>
    <row r="96" spans="1:9" x14ac:dyDescent="0.3">
      <c r="A96" s="3">
        <v>95</v>
      </c>
      <c r="B96" s="1" t="s">
        <v>2316</v>
      </c>
      <c r="C96" s="1" t="s">
        <v>197</v>
      </c>
      <c r="D96" s="3" t="s">
        <v>3489</v>
      </c>
      <c r="E96" s="1" t="s">
        <v>1118</v>
      </c>
      <c r="F96" s="1" t="s">
        <v>1194</v>
      </c>
      <c r="G96" s="1" t="s">
        <v>1603</v>
      </c>
      <c r="H96" s="1" t="s">
        <v>2052</v>
      </c>
      <c r="I96" s="1" t="s">
        <v>683</v>
      </c>
    </row>
    <row r="97" spans="1:9" x14ac:dyDescent="0.3">
      <c r="A97" s="3">
        <v>96</v>
      </c>
      <c r="B97" s="1" t="s">
        <v>2317</v>
      </c>
      <c r="C97" s="1" t="s">
        <v>198</v>
      </c>
      <c r="D97" s="3" t="s">
        <v>3490</v>
      </c>
      <c r="E97" s="1" t="s">
        <v>1118</v>
      </c>
      <c r="F97" s="1" t="s">
        <v>1195</v>
      </c>
      <c r="G97" s="1" t="s">
        <v>1604</v>
      </c>
      <c r="I97" s="1" t="s">
        <v>684</v>
      </c>
    </row>
    <row r="98" spans="1:9" x14ac:dyDescent="0.3">
      <c r="A98" s="3">
        <v>97</v>
      </c>
      <c r="B98" s="1" t="s">
        <v>2318</v>
      </c>
      <c r="C98" s="1" t="s">
        <v>2112</v>
      </c>
      <c r="D98" s="3" t="s">
        <v>3490</v>
      </c>
      <c r="E98" s="1" t="s">
        <v>1118</v>
      </c>
      <c r="F98" s="1" t="s">
        <v>1196</v>
      </c>
      <c r="G98" s="1" t="s">
        <v>1605</v>
      </c>
      <c r="I98" s="1" t="s">
        <v>685</v>
      </c>
    </row>
    <row r="99" spans="1:9" x14ac:dyDescent="0.3">
      <c r="A99" s="3">
        <v>98</v>
      </c>
      <c r="B99" s="1" t="s">
        <v>2319</v>
      </c>
      <c r="C99" s="1" t="s">
        <v>199</v>
      </c>
      <c r="D99" s="3" t="s">
        <v>3490</v>
      </c>
      <c r="E99" s="1" t="s">
        <v>1118</v>
      </c>
      <c r="F99" s="1" t="s">
        <v>1159</v>
      </c>
      <c r="G99" s="1" t="s">
        <v>1606</v>
      </c>
      <c r="I99" s="1" t="s">
        <v>686</v>
      </c>
    </row>
    <row r="100" spans="1:9" x14ac:dyDescent="0.3">
      <c r="A100" s="3">
        <v>99</v>
      </c>
      <c r="B100" s="1" t="s">
        <v>2320</v>
      </c>
      <c r="C100" s="1" t="s">
        <v>200</v>
      </c>
      <c r="D100" s="3" t="s">
        <v>3490</v>
      </c>
      <c r="E100" s="1" t="s">
        <v>1118</v>
      </c>
      <c r="F100" s="1" t="s">
        <v>1197</v>
      </c>
      <c r="G100" s="1" t="s">
        <v>1607</v>
      </c>
      <c r="I100" s="1" t="s">
        <v>687</v>
      </c>
    </row>
    <row r="101" spans="1:9" x14ac:dyDescent="0.3">
      <c r="A101" s="3">
        <v>100</v>
      </c>
      <c r="B101" s="1" t="s">
        <v>2321</v>
      </c>
      <c r="C101" s="1" t="s">
        <v>2113</v>
      </c>
      <c r="D101" s="3" t="s">
        <v>3490</v>
      </c>
      <c r="E101" s="1" t="s">
        <v>1118</v>
      </c>
      <c r="F101" s="1" t="s">
        <v>1198</v>
      </c>
      <c r="G101" s="1" t="s">
        <v>1608</v>
      </c>
      <c r="I101" s="1" t="s">
        <v>688</v>
      </c>
    </row>
    <row r="102" spans="1:9" x14ac:dyDescent="0.3">
      <c r="A102" s="3">
        <v>101</v>
      </c>
      <c r="B102" s="1" t="s">
        <v>2322</v>
      </c>
      <c r="C102" s="1" t="s">
        <v>2114</v>
      </c>
      <c r="D102" s="3" t="s">
        <v>3490</v>
      </c>
      <c r="E102" s="1" t="s">
        <v>1118</v>
      </c>
      <c r="F102" s="1" t="s">
        <v>1199</v>
      </c>
      <c r="G102" s="1" t="s">
        <v>1609</v>
      </c>
      <c r="I102" s="1" t="s">
        <v>689</v>
      </c>
    </row>
    <row r="103" spans="1:9" x14ac:dyDescent="0.3">
      <c r="A103" s="3">
        <v>102</v>
      </c>
      <c r="B103" s="1" t="s">
        <v>2323</v>
      </c>
      <c r="C103" s="1" t="s">
        <v>201</v>
      </c>
      <c r="D103" s="3" t="s">
        <v>3489</v>
      </c>
      <c r="E103" s="1" t="s">
        <v>1118</v>
      </c>
      <c r="F103" s="1" t="s">
        <v>1200</v>
      </c>
      <c r="G103" s="1" t="s">
        <v>1610</v>
      </c>
      <c r="I103" s="1" t="s">
        <v>690</v>
      </c>
    </row>
    <row r="104" spans="1:9" x14ac:dyDescent="0.3">
      <c r="A104" s="3">
        <v>103</v>
      </c>
      <c r="B104" s="1" t="s">
        <v>2324</v>
      </c>
      <c r="C104" s="1" t="s">
        <v>2115</v>
      </c>
      <c r="D104" s="3" t="s">
        <v>3490</v>
      </c>
      <c r="E104" s="1" t="s">
        <v>1118</v>
      </c>
      <c r="F104" s="1" t="s">
        <v>42</v>
      </c>
      <c r="G104" s="1" t="s">
        <v>1611</v>
      </c>
      <c r="I104" s="1" t="s">
        <v>691</v>
      </c>
    </row>
    <row r="105" spans="1:9" x14ac:dyDescent="0.3">
      <c r="A105" s="3">
        <v>104</v>
      </c>
      <c r="B105" s="1" t="s">
        <v>2325</v>
      </c>
      <c r="C105" s="1" t="s">
        <v>2116</v>
      </c>
      <c r="D105" s="3" t="s">
        <v>3490</v>
      </c>
      <c r="E105" s="1" t="s">
        <v>1118</v>
      </c>
      <c r="F105" s="1" t="s">
        <v>1201</v>
      </c>
      <c r="G105" s="1" t="s">
        <v>1612</v>
      </c>
      <c r="I105" s="1" t="s">
        <v>692</v>
      </c>
    </row>
    <row r="106" spans="1:9" x14ac:dyDescent="0.3">
      <c r="A106" s="3">
        <v>105</v>
      </c>
      <c r="B106" s="1" t="s">
        <v>2326</v>
      </c>
      <c r="C106" s="1" t="s">
        <v>2117</v>
      </c>
      <c r="D106" s="3" t="s">
        <v>3490</v>
      </c>
      <c r="E106" s="1" t="s">
        <v>1118</v>
      </c>
      <c r="F106" s="1" t="s">
        <v>1202</v>
      </c>
      <c r="G106" s="1" t="s">
        <v>1613</v>
      </c>
      <c r="H106" s="1" t="s">
        <v>2052</v>
      </c>
      <c r="I106" s="1" t="s">
        <v>693</v>
      </c>
    </row>
    <row r="107" spans="1:9" x14ac:dyDescent="0.3">
      <c r="A107" s="3">
        <v>106</v>
      </c>
      <c r="B107" s="1" t="s">
        <v>2327</v>
      </c>
      <c r="C107" s="1" t="s">
        <v>2118</v>
      </c>
      <c r="D107" s="3" t="s">
        <v>3489</v>
      </c>
      <c r="E107" s="1" t="s">
        <v>1118</v>
      </c>
      <c r="F107" s="1" t="s">
        <v>1203</v>
      </c>
      <c r="G107" s="1" t="s">
        <v>1614</v>
      </c>
      <c r="I107" s="1" t="s">
        <v>694</v>
      </c>
    </row>
    <row r="108" spans="1:9" x14ac:dyDescent="0.3">
      <c r="A108" s="3">
        <v>107</v>
      </c>
      <c r="B108" s="1" t="s">
        <v>2328</v>
      </c>
      <c r="C108" s="1" t="s">
        <v>2119</v>
      </c>
      <c r="D108" s="3" t="s">
        <v>3490</v>
      </c>
      <c r="E108" s="1" t="s">
        <v>1118</v>
      </c>
      <c r="F108" s="1" t="s">
        <v>1204</v>
      </c>
      <c r="G108" s="1" t="s">
        <v>1615</v>
      </c>
      <c r="H108" s="1" t="s">
        <v>2052</v>
      </c>
      <c r="I108" s="1" t="s">
        <v>695</v>
      </c>
    </row>
    <row r="109" spans="1:9" x14ac:dyDescent="0.3">
      <c r="A109" s="3">
        <v>108</v>
      </c>
      <c r="B109" s="1" t="s">
        <v>2329</v>
      </c>
      <c r="C109" s="1" t="s">
        <v>2120</v>
      </c>
      <c r="D109" s="3" t="s">
        <v>3490</v>
      </c>
      <c r="E109" s="1" t="s">
        <v>1118</v>
      </c>
      <c r="F109" s="1" t="s">
        <v>1205</v>
      </c>
      <c r="G109" s="1" t="s">
        <v>1616</v>
      </c>
      <c r="I109" s="1" t="s">
        <v>696</v>
      </c>
    </row>
    <row r="110" spans="1:9" x14ac:dyDescent="0.3">
      <c r="A110" s="3">
        <v>109</v>
      </c>
      <c r="B110" s="1" t="s">
        <v>2330</v>
      </c>
      <c r="C110" s="1" t="s">
        <v>202</v>
      </c>
      <c r="D110" s="3" t="s">
        <v>3490</v>
      </c>
      <c r="E110" s="1" t="s">
        <v>1115</v>
      </c>
      <c r="F110" s="1" t="s">
        <v>1115</v>
      </c>
      <c r="G110" s="1" t="s">
        <v>704</v>
      </c>
      <c r="I110" s="1" t="s">
        <v>697</v>
      </c>
    </row>
    <row r="111" spans="1:9" x14ac:dyDescent="0.3">
      <c r="A111" s="3">
        <v>110</v>
      </c>
      <c r="B111" s="1" t="s">
        <v>2331</v>
      </c>
      <c r="C111" s="1" t="s">
        <v>2121</v>
      </c>
      <c r="D111" s="3" t="s">
        <v>3490</v>
      </c>
      <c r="E111" s="1" t="s">
        <v>1118</v>
      </c>
      <c r="F111" s="1" t="s">
        <v>1206</v>
      </c>
      <c r="G111" s="1" t="s">
        <v>1617</v>
      </c>
      <c r="I111" s="1" t="s">
        <v>698</v>
      </c>
    </row>
    <row r="112" spans="1:9" x14ac:dyDescent="0.3">
      <c r="A112" s="3">
        <v>111</v>
      </c>
      <c r="B112" s="1" t="s">
        <v>2332</v>
      </c>
      <c r="C112" s="1" t="s">
        <v>2122</v>
      </c>
      <c r="D112" s="3" t="s">
        <v>3490</v>
      </c>
      <c r="E112" s="1" t="s">
        <v>1118</v>
      </c>
      <c r="F112" s="1" t="s">
        <v>1207</v>
      </c>
      <c r="G112" s="1" t="s">
        <v>1618</v>
      </c>
      <c r="H112" s="1" t="s">
        <v>2052</v>
      </c>
      <c r="I112" s="1" t="s">
        <v>699</v>
      </c>
    </row>
    <row r="113" spans="1:9" x14ac:dyDescent="0.3">
      <c r="A113" s="3">
        <v>112</v>
      </c>
      <c r="B113" s="1" t="s">
        <v>2333</v>
      </c>
      <c r="C113" s="1" t="s">
        <v>203</v>
      </c>
      <c r="D113" s="3" t="s">
        <v>3490</v>
      </c>
      <c r="E113" s="1" t="s">
        <v>1118</v>
      </c>
      <c r="F113" s="1" t="s">
        <v>1149</v>
      </c>
      <c r="G113" s="1" t="s">
        <v>1619</v>
      </c>
      <c r="H113" s="1" t="s">
        <v>2062</v>
      </c>
      <c r="I113" s="1" t="s">
        <v>700</v>
      </c>
    </row>
    <row r="114" spans="1:9" x14ac:dyDescent="0.3">
      <c r="A114" s="3">
        <v>113</v>
      </c>
      <c r="B114" s="1" t="s">
        <v>2334</v>
      </c>
      <c r="C114" s="1" t="s">
        <v>204</v>
      </c>
      <c r="D114" s="3" t="s">
        <v>3490</v>
      </c>
      <c r="E114" s="1" t="s">
        <v>1118</v>
      </c>
      <c r="F114" s="1" t="s">
        <v>64</v>
      </c>
      <c r="G114" s="1" t="s">
        <v>1620</v>
      </c>
      <c r="H114" s="1" t="s">
        <v>2075</v>
      </c>
      <c r="I114" s="1" t="s">
        <v>701</v>
      </c>
    </row>
    <row r="115" spans="1:9" x14ac:dyDescent="0.3">
      <c r="A115" s="3">
        <v>114</v>
      </c>
      <c r="B115" s="1" t="s">
        <v>2335</v>
      </c>
      <c r="C115" s="1" t="s">
        <v>205</v>
      </c>
      <c r="D115" s="3" t="s">
        <v>3490</v>
      </c>
      <c r="E115" s="1" t="s">
        <v>1113</v>
      </c>
      <c r="F115" s="1" t="s">
        <v>1186</v>
      </c>
      <c r="G115" s="1" t="s">
        <v>1621</v>
      </c>
      <c r="H115" s="1" t="s">
        <v>2063</v>
      </c>
      <c r="I115" s="1" t="s">
        <v>702</v>
      </c>
    </row>
    <row r="116" spans="1:9" x14ac:dyDescent="0.3">
      <c r="A116" s="3">
        <v>115</v>
      </c>
      <c r="B116" s="1" t="s">
        <v>2336</v>
      </c>
      <c r="C116" s="1" t="s">
        <v>2113</v>
      </c>
      <c r="D116" s="3" t="s">
        <v>3489</v>
      </c>
      <c r="E116" s="1" t="s">
        <v>1118</v>
      </c>
      <c r="F116" s="1" t="s">
        <v>1208</v>
      </c>
      <c r="G116" s="1" t="s">
        <v>1622</v>
      </c>
      <c r="H116" s="1" t="s">
        <v>2059</v>
      </c>
      <c r="I116" s="1" t="s">
        <v>703</v>
      </c>
    </row>
    <row r="117" spans="1:9" x14ac:dyDescent="0.3">
      <c r="A117" s="3">
        <v>116</v>
      </c>
      <c r="B117" s="1" t="s">
        <v>2337</v>
      </c>
      <c r="C117" s="1" t="s">
        <v>206</v>
      </c>
      <c r="D117" s="3" t="s">
        <v>3490</v>
      </c>
      <c r="E117" s="1" t="s">
        <v>1119</v>
      </c>
      <c r="F117" s="1" t="s">
        <v>1209</v>
      </c>
      <c r="G117" s="1" t="s">
        <v>1623</v>
      </c>
      <c r="H117" s="1" t="s">
        <v>2086</v>
      </c>
      <c r="I117" s="1">
        <v>15721215</v>
      </c>
    </row>
    <row r="118" spans="1:9" x14ac:dyDescent="0.3">
      <c r="A118" s="3">
        <v>117</v>
      </c>
      <c r="B118" s="1" t="s">
        <v>2338</v>
      </c>
      <c r="C118" s="1" t="s">
        <v>207</v>
      </c>
      <c r="D118" s="3" t="s">
        <v>3490</v>
      </c>
      <c r="E118" s="1" t="s">
        <v>1118</v>
      </c>
      <c r="F118" s="1" t="s">
        <v>1210</v>
      </c>
      <c r="G118" s="1" t="s">
        <v>1624</v>
      </c>
      <c r="H118" s="1" t="s">
        <v>2064</v>
      </c>
      <c r="I118" s="1">
        <v>969813402</v>
      </c>
    </row>
    <row r="119" spans="1:9" x14ac:dyDescent="0.3">
      <c r="A119" s="3">
        <v>118</v>
      </c>
      <c r="B119" s="1" t="s">
        <v>2339</v>
      </c>
      <c r="C119" s="1" t="s">
        <v>208</v>
      </c>
      <c r="D119" s="3" t="s">
        <v>3489</v>
      </c>
      <c r="E119" s="1" t="s">
        <v>1118</v>
      </c>
      <c r="F119" s="1" t="s">
        <v>1211</v>
      </c>
      <c r="G119" s="1" t="s">
        <v>1625</v>
      </c>
      <c r="H119" s="1" t="s">
        <v>2086</v>
      </c>
      <c r="I119" s="1">
        <v>78997702</v>
      </c>
    </row>
    <row r="120" spans="1:9" x14ac:dyDescent="0.3">
      <c r="A120" s="3">
        <v>119</v>
      </c>
      <c r="B120" s="1" t="s">
        <v>2340</v>
      </c>
      <c r="C120" s="1" t="s">
        <v>209</v>
      </c>
      <c r="D120" s="3" t="s">
        <v>3490</v>
      </c>
      <c r="E120" s="1" t="s">
        <v>1118</v>
      </c>
      <c r="F120" s="1" t="s">
        <v>1212</v>
      </c>
      <c r="G120" s="1" t="s">
        <v>1626</v>
      </c>
      <c r="I120" s="1">
        <v>964313098</v>
      </c>
    </row>
    <row r="121" spans="1:9" x14ac:dyDescent="0.3">
      <c r="A121" s="3">
        <v>120</v>
      </c>
      <c r="B121" s="1" t="s">
        <v>2341</v>
      </c>
      <c r="C121" s="1" t="s">
        <v>210</v>
      </c>
      <c r="D121" s="3" t="s">
        <v>3489</v>
      </c>
      <c r="E121" s="1" t="s">
        <v>1113</v>
      </c>
      <c r="F121" s="1" t="s">
        <v>1213</v>
      </c>
      <c r="G121" s="1" t="s">
        <v>1627</v>
      </c>
      <c r="H121" s="1" t="s">
        <v>2067</v>
      </c>
      <c r="I121" s="1" t="s">
        <v>704</v>
      </c>
    </row>
    <row r="122" spans="1:9" x14ac:dyDescent="0.3">
      <c r="A122" s="3">
        <v>121</v>
      </c>
      <c r="B122" s="1" t="s">
        <v>2342</v>
      </c>
      <c r="C122" s="1" t="s">
        <v>211</v>
      </c>
      <c r="D122" s="3" t="s">
        <v>3490</v>
      </c>
      <c r="E122" s="1" t="s">
        <v>1113</v>
      </c>
      <c r="F122" s="1" t="s">
        <v>1126</v>
      </c>
      <c r="G122" s="1" t="s">
        <v>1628</v>
      </c>
      <c r="H122" s="1" t="s">
        <v>2061</v>
      </c>
      <c r="I122" s="1">
        <v>15688182</v>
      </c>
    </row>
    <row r="123" spans="1:9" x14ac:dyDescent="0.3">
      <c r="A123" s="3">
        <v>122</v>
      </c>
      <c r="B123" s="1" t="s">
        <v>2343</v>
      </c>
      <c r="C123" s="1" t="s">
        <v>212</v>
      </c>
      <c r="D123" s="3" t="s">
        <v>3490</v>
      </c>
      <c r="E123" s="1" t="s">
        <v>1114</v>
      </c>
      <c r="F123" s="1" t="s">
        <v>1214</v>
      </c>
      <c r="G123" s="1" t="s">
        <v>1629</v>
      </c>
      <c r="H123" s="1" t="s">
        <v>704</v>
      </c>
      <c r="I123" s="1">
        <v>70606375</v>
      </c>
    </row>
    <row r="124" spans="1:9" x14ac:dyDescent="0.3">
      <c r="A124" s="3">
        <v>123</v>
      </c>
      <c r="B124" s="1" t="s">
        <v>2344</v>
      </c>
      <c r="C124" s="1" t="s">
        <v>213</v>
      </c>
      <c r="D124" s="3" t="s">
        <v>3490</v>
      </c>
      <c r="E124" s="1" t="s">
        <v>1113</v>
      </c>
      <c r="F124" s="1" t="s">
        <v>1128</v>
      </c>
      <c r="G124" s="1" t="s">
        <v>1630</v>
      </c>
      <c r="H124" s="1" t="s">
        <v>2061</v>
      </c>
      <c r="I124" s="1">
        <v>78547666</v>
      </c>
    </row>
    <row r="125" spans="1:9" x14ac:dyDescent="0.3">
      <c r="A125" s="3">
        <v>124</v>
      </c>
      <c r="B125" s="1" t="s">
        <v>2345</v>
      </c>
      <c r="C125" s="1" t="s">
        <v>214</v>
      </c>
      <c r="D125" s="3" t="s">
        <v>3490</v>
      </c>
      <c r="E125" s="1" t="s">
        <v>1113</v>
      </c>
      <c r="F125" s="1" t="s">
        <v>1213</v>
      </c>
      <c r="G125" s="1" t="s">
        <v>1631</v>
      </c>
      <c r="H125" s="1" t="s">
        <v>2061</v>
      </c>
      <c r="I125" s="1">
        <v>12422012</v>
      </c>
    </row>
    <row r="126" spans="1:9" x14ac:dyDescent="0.3">
      <c r="A126" s="3">
        <v>125</v>
      </c>
      <c r="B126" s="1" t="s">
        <v>2346</v>
      </c>
      <c r="C126" s="1" t="s">
        <v>215</v>
      </c>
      <c r="D126" s="3" t="s">
        <v>3490</v>
      </c>
      <c r="E126" s="1" t="s">
        <v>1113</v>
      </c>
      <c r="F126" s="1" t="s">
        <v>1213</v>
      </c>
      <c r="G126" s="1" t="s">
        <v>1632</v>
      </c>
      <c r="H126" s="1" t="s">
        <v>2088</v>
      </c>
      <c r="I126" s="1">
        <v>12550155</v>
      </c>
    </row>
    <row r="127" spans="1:9" x14ac:dyDescent="0.3">
      <c r="A127" s="3">
        <v>126</v>
      </c>
      <c r="B127" s="1" t="s">
        <v>2347</v>
      </c>
      <c r="C127" s="1" t="s">
        <v>216</v>
      </c>
      <c r="D127" s="3" t="s">
        <v>3490</v>
      </c>
      <c r="E127" s="1" t="s">
        <v>1113</v>
      </c>
      <c r="F127" s="1" t="s">
        <v>1215</v>
      </c>
      <c r="G127" s="1" t="s">
        <v>1633</v>
      </c>
      <c r="H127" s="1" t="s">
        <v>2061</v>
      </c>
      <c r="I127" s="1">
        <v>78999311</v>
      </c>
    </row>
    <row r="128" spans="1:9" x14ac:dyDescent="0.3">
      <c r="A128" s="3">
        <v>127</v>
      </c>
      <c r="B128" s="1" t="s">
        <v>2348</v>
      </c>
      <c r="C128" s="1" t="s">
        <v>217</v>
      </c>
      <c r="D128" s="3" t="s">
        <v>3490</v>
      </c>
      <c r="E128" s="1" t="s">
        <v>1115</v>
      </c>
    </row>
    <row r="129" spans="1:9" x14ac:dyDescent="0.3">
      <c r="A129" s="3">
        <v>128</v>
      </c>
      <c r="B129" s="1" t="s">
        <v>2349</v>
      </c>
      <c r="C129" s="1" t="s">
        <v>218</v>
      </c>
      <c r="D129" s="3" t="s">
        <v>3489</v>
      </c>
      <c r="E129" s="1" t="s">
        <v>1115</v>
      </c>
    </row>
    <row r="130" spans="1:9" x14ac:dyDescent="0.3">
      <c r="A130" s="3">
        <v>129</v>
      </c>
      <c r="B130" s="1" t="s">
        <v>2350</v>
      </c>
      <c r="C130" s="1" t="s">
        <v>219</v>
      </c>
      <c r="D130" s="3" t="s">
        <v>3489</v>
      </c>
      <c r="E130" s="1" t="s">
        <v>1115</v>
      </c>
      <c r="F130" s="1" t="s">
        <v>1208</v>
      </c>
      <c r="G130" s="1" t="s">
        <v>1634</v>
      </c>
      <c r="H130" s="1" t="s">
        <v>2055</v>
      </c>
      <c r="I130" s="1" t="s">
        <v>705</v>
      </c>
    </row>
    <row r="131" spans="1:9" x14ac:dyDescent="0.3">
      <c r="A131" s="3">
        <v>130</v>
      </c>
      <c r="B131" s="1" t="s">
        <v>2351</v>
      </c>
      <c r="C131" s="1" t="s">
        <v>220</v>
      </c>
      <c r="D131" s="3" t="s">
        <v>3490</v>
      </c>
      <c r="E131" s="1" t="s">
        <v>1118</v>
      </c>
      <c r="F131" s="1" t="s">
        <v>1216</v>
      </c>
      <c r="G131" s="1" t="s">
        <v>1635</v>
      </c>
    </row>
    <row r="132" spans="1:9" x14ac:dyDescent="0.3">
      <c r="A132" s="3">
        <v>131</v>
      </c>
      <c r="B132" s="1" t="s">
        <v>2352</v>
      </c>
      <c r="C132" s="1" t="s">
        <v>504</v>
      </c>
      <c r="D132" s="3" t="s">
        <v>3490</v>
      </c>
      <c r="E132" s="1" t="s">
        <v>1113</v>
      </c>
      <c r="F132" s="1" t="s">
        <v>1217</v>
      </c>
      <c r="G132" s="1" t="s">
        <v>1636</v>
      </c>
      <c r="H132" s="1" t="s">
        <v>2052</v>
      </c>
      <c r="I132" s="1" t="s">
        <v>706</v>
      </c>
    </row>
    <row r="133" spans="1:9" x14ac:dyDescent="0.3">
      <c r="A133" s="3">
        <v>132</v>
      </c>
      <c r="B133" s="1" t="s">
        <v>2353</v>
      </c>
      <c r="C133" s="1" t="s">
        <v>221</v>
      </c>
      <c r="D133" s="3" t="s">
        <v>3489</v>
      </c>
      <c r="E133" s="1" t="s">
        <v>1115</v>
      </c>
      <c r="F133" s="1" t="s">
        <v>1218</v>
      </c>
      <c r="G133" s="1" t="s">
        <v>1637</v>
      </c>
      <c r="H133" s="1" t="s">
        <v>2088</v>
      </c>
      <c r="I133" s="1" t="s">
        <v>707</v>
      </c>
    </row>
    <row r="134" spans="1:9" x14ac:dyDescent="0.3">
      <c r="A134" s="3">
        <v>133</v>
      </c>
      <c r="B134" s="1" t="s">
        <v>2354</v>
      </c>
      <c r="C134" s="1" t="s">
        <v>222</v>
      </c>
      <c r="D134" s="3" t="s">
        <v>3490</v>
      </c>
      <c r="E134" s="1" t="s">
        <v>1113</v>
      </c>
      <c r="F134" s="1" t="s">
        <v>1186</v>
      </c>
      <c r="G134" s="1" t="s">
        <v>1638</v>
      </c>
      <c r="H134" s="1" t="s">
        <v>2065</v>
      </c>
    </row>
    <row r="135" spans="1:9" x14ac:dyDescent="0.3">
      <c r="A135" s="3">
        <v>134</v>
      </c>
      <c r="B135" s="1" t="s">
        <v>2355</v>
      </c>
      <c r="C135" s="1" t="s">
        <v>2123</v>
      </c>
      <c r="D135" s="3" t="s">
        <v>3490</v>
      </c>
      <c r="E135" s="1" t="s">
        <v>1118</v>
      </c>
      <c r="F135" s="1" t="s">
        <v>1219</v>
      </c>
      <c r="G135" s="1" t="s">
        <v>1639</v>
      </c>
      <c r="I135" s="1" t="s">
        <v>708</v>
      </c>
    </row>
    <row r="136" spans="1:9" x14ac:dyDescent="0.3">
      <c r="A136" s="3">
        <v>135</v>
      </c>
      <c r="B136" s="1" t="s">
        <v>2356</v>
      </c>
      <c r="C136" s="1" t="s">
        <v>2124</v>
      </c>
      <c r="D136" s="3" t="s">
        <v>3490</v>
      </c>
      <c r="E136" s="1" t="s">
        <v>1118</v>
      </c>
      <c r="F136" s="1" t="s">
        <v>1220</v>
      </c>
      <c r="G136" s="1" t="s">
        <v>1640</v>
      </c>
      <c r="I136" s="1" t="s">
        <v>709</v>
      </c>
    </row>
    <row r="137" spans="1:9" x14ac:dyDescent="0.3">
      <c r="A137" s="3">
        <v>136</v>
      </c>
      <c r="B137" s="1" t="s">
        <v>2357</v>
      </c>
      <c r="C137" s="1" t="s">
        <v>2125</v>
      </c>
      <c r="D137" s="3" t="s">
        <v>3490</v>
      </c>
      <c r="E137" s="1" t="s">
        <v>1118</v>
      </c>
      <c r="F137" s="1" t="s">
        <v>1221</v>
      </c>
      <c r="G137" s="1" t="s">
        <v>1641</v>
      </c>
      <c r="I137" s="1" t="s">
        <v>710</v>
      </c>
    </row>
    <row r="138" spans="1:9" x14ac:dyDescent="0.3">
      <c r="A138" s="3">
        <v>137</v>
      </c>
      <c r="B138" s="1" t="s">
        <v>2358</v>
      </c>
      <c r="C138" s="1" t="s">
        <v>223</v>
      </c>
      <c r="D138" s="3" t="s">
        <v>3489</v>
      </c>
      <c r="E138" s="1" t="s">
        <v>1118</v>
      </c>
      <c r="F138" s="1" t="s">
        <v>1222</v>
      </c>
      <c r="G138" s="1" t="s">
        <v>1642</v>
      </c>
      <c r="I138" s="1" t="s">
        <v>711</v>
      </c>
    </row>
    <row r="139" spans="1:9" x14ac:dyDescent="0.3">
      <c r="A139" s="3">
        <v>138</v>
      </c>
      <c r="B139" s="1" t="s">
        <v>2359</v>
      </c>
      <c r="C139" s="1" t="s">
        <v>2126</v>
      </c>
      <c r="D139" s="3" t="s">
        <v>3490</v>
      </c>
      <c r="E139" s="1" t="s">
        <v>1118</v>
      </c>
      <c r="F139" s="1" t="s">
        <v>1223</v>
      </c>
      <c r="G139" s="1" t="s">
        <v>1643</v>
      </c>
      <c r="I139" s="1" t="s">
        <v>712</v>
      </c>
    </row>
    <row r="140" spans="1:9" x14ac:dyDescent="0.3">
      <c r="A140" s="3">
        <v>139</v>
      </c>
      <c r="B140" s="1" t="s">
        <v>2360</v>
      </c>
      <c r="C140" s="1" t="s">
        <v>2127</v>
      </c>
      <c r="D140" s="3" t="s">
        <v>3489</v>
      </c>
      <c r="E140" s="1" t="s">
        <v>1113</v>
      </c>
      <c r="F140" s="1" t="s">
        <v>28</v>
      </c>
      <c r="G140" s="1" t="s">
        <v>1644</v>
      </c>
      <c r="H140" s="1" t="s">
        <v>2052</v>
      </c>
      <c r="I140" s="1" t="s">
        <v>713</v>
      </c>
    </row>
    <row r="141" spans="1:9" x14ac:dyDescent="0.3">
      <c r="A141" s="3">
        <v>140</v>
      </c>
      <c r="B141" s="1" t="s">
        <v>2361</v>
      </c>
      <c r="C141" s="1" t="s">
        <v>224</v>
      </c>
      <c r="D141" s="3" t="s">
        <v>3489</v>
      </c>
      <c r="E141" s="1" t="s">
        <v>1118</v>
      </c>
      <c r="F141" s="1" t="s">
        <v>1186</v>
      </c>
      <c r="G141" s="1" t="s">
        <v>1645</v>
      </c>
      <c r="H141" s="1" t="s">
        <v>2052</v>
      </c>
      <c r="I141" s="1" t="s">
        <v>714</v>
      </c>
    </row>
    <row r="142" spans="1:9" x14ac:dyDescent="0.3">
      <c r="A142" s="3">
        <v>141</v>
      </c>
      <c r="B142" s="1" t="s">
        <v>2362</v>
      </c>
      <c r="C142" s="1" t="s">
        <v>2128</v>
      </c>
      <c r="D142" s="3" t="s">
        <v>3489</v>
      </c>
      <c r="E142" s="1" t="s">
        <v>1113</v>
      </c>
      <c r="F142" s="1" t="s">
        <v>1224</v>
      </c>
      <c r="G142" s="1" t="s">
        <v>1646</v>
      </c>
      <c r="H142" s="1" t="s">
        <v>2052</v>
      </c>
      <c r="I142" s="1" t="s">
        <v>715</v>
      </c>
    </row>
    <row r="143" spans="1:9" x14ac:dyDescent="0.3">
      <c r="A143" s="3">
        <v>142</v>
      </c>
      <c r="B143" s="1" t="s">
        <v>2363</v>
      </c>
      <c r="C143" s="1" t="s">
        <v>2129</v>
      </c>
      <c r="D143" s="3" t="s">
        <v>3489</v>
      </c>
      <c r="E143" s="1" t="s">
        <v>1118</v>
      </c>
      <c r="F143" s="1" t="s">
        <v>1225</v>
      </c>
      <c r="G143" s="1" t="s">
        <v>1647</v>
      </c>
      <c r="I143" s="1" t="s">
        <v>716</v>
      </c>
    </row>
    <row r="144" spans="1:9" x14ac:dyDescent="0.3">
      <c r="A144" s="3">
        <v>143</v>
      </c>
      <c r="B144" s="1" t="s">
        <v>2364</v>
      </c>
      <c r="C144" s="1" t="s">
        <v>2130</v>
      </c>
      <c r="D144" s="3" t="s">
        <v>3490</v>
      </c>
      <c r="E144" s="1" t="s">
        <v>1113</v>
      </c>
      <c r="F144" s="1" t="s">
        <v>1226</v>
      </c>
      <c r="G144" s="1" t="s">
        <v>1648</v>
      </c>
      <c r="H144" s="1" t="s">
        <v>2052</v>
      </c>
      <c r="I144" s="1" t="s">
        <v>717</v>
      </c>
    </row>
    <row r="145" spans="1:9" x14ac:dyDescent="0.3">
      <c r="A145" s="3">
        <v>144</v>
      </c>
      <c r="B145" s="1" t="s">
        <v>2365</v>
      </c>
      <c r="C145" s="1" t="s">
        <v>2131</v>
      </c>
      <c r="D145" s="3" t="s">
        <v>3490</v>
      </c>
      <c r="E145" s="1" t="s">
        <v>1113</v>
      </c>
      <c r="F145" s="1" t="s">
        <v>1227</v>
      </c>
      <c r="G145" s="1" t="s">
        <v>1649</v>
      </c>
      <c r="H145" s="1" t="s">
        <v>2052</v>
      </c>
      <c r="I145" s="1" t="s">
        <v>718</v>
      </c>
    </row>
    <row r="146" spans="1:9" x14ac:dyDescent="0.3">
      <c r="A146" s="3">
        <v>145</v>
      </c>
      <c r="B146" s="1" t="s">
        <v>2366</v>
      </c>
      <c r="C146" s="1" t="s">
        <v>2132</v>
      </c>
      <c r="D146" s="3" t="s">
        <v>3490</v>
      </c>
      <c r="E146" s="1" t="s">
        <v>1113</v>
      </c>
      <c r="F146" s="1" t="s">
        <v>1228</v>
      </c>
      <c r="G146" s="1" t="s">
        <v>1530</v>
      </c>
      <c r="I146" s="1" t="s">
        <v>719</v>
      </c>
    </row>
    <row r="147" spans="1:9" x14ac:dyDescent="0.3">
      <c r="A147" s="3">
        <v>146</v>
      </c>
      <c r="B147" s="1" t="s">
        <v>2367</v>
      </c>
      <c r="C147" s="1" t="s">
        <v>225</v>
      </c>
      <c r="D147" s="3" t="s">
        <v>3489</v>
      </c>
      <c r="E147" s="1" t="s">
        <v>1118</v>
      </c>
      <c r="F147" s="1" t="s">
        <v>36</v>
      </c>
      <c r="G147" s="1" t="s">
        <v>1650</v>
      </c>
      <c r="H147" s="1" t="s">
        <v>2088</v>
      </c>
      <c r="I147" s="1">
        <v>12699807</v>
      </c>
    </row>
    <row r="148" spans="1:9" x14ac:dyDescent="0.3">
      <c r="A148" s="3">
        <v>147</v>
      </c>
      <c r="B148" s="1" t="s">
        <v>2368</v>
      </c>
      <c r="C148" s="1" t="s">
        <v>226</v>
      </c>
      <c r="D148" s="3" t="s">
        <v>3490</v>
      </c>
      <c r="E148" s="1" t="s">
        <v>1118</v>
      </c>
      <c r="F148" s="1" t="s">
        <v>1229</v>
      </c>
      <c r="G148" s="1" t="s">
        <v>1651</v>
      </c>
      <c r="H148" s="1" t="s">
        <v>2066</v>
      </c>
      <c r="I148" s="1">
        <v>12857567</v>
      </c>
    </row>
    <row r="149" spans="1:9" x14ac:dyDescent="0.3">
      <c r="A149" s="3">
        <v>148</v>
      </c>
      <c r="B149" s="1" t="s">
        <v>2369</v>
      </c>
      <c r="C149" s="1" t="s">
        <v>2133</v>
      </c>
      <c r="D149" s="3" t="s">
        <v>3490</v>
      </c>
      <c r="E149" s="1" t="s">
        <v>1118</v>
      </c>
      <c r="F149" s="1" t="s">
        <v>1230</v>
      </c>
      <c r="G149" s="1" t="s">
        <v>1652</v>
      </c>
      <c r="I149" s="1" t="s">
        <v>720</v>
      </c>
    </row>
    <row r="150" spans="1:9" x14ac:dyDescent="0.3">
      <c r="A150" s="3">
        <v>149</v>
      </c>
      <c r="B150" s="1" t="s">
        <v>2370</v>
      </c>
      <c r="C150" s="1" t="s">
        <v>2134</v>
      </c>
      <c r="D150" s="3" t="s">
        <v>3490</v>
      </c>
      <c r="E150" s="1" t="s">
        <v>1118</v>
      </c>
      <c r="F150" s="1" t="s">
        <v>1231</v>
      </c>
      <c r="G150" s="1" t="s">
        <v>1653</v>
      </c>
      <c r="I150" s="1" t="s">
        <v>721</v>
      </c>
    </row>
    <row r="151" spans="1:9" x14ac:dyDescent="0.3">
      <c r="A151" s="3">
        <v>150</v>
      </c>
      <c r="B151" s="1" t="s">
        <v>2371</v>
      </c>
      <c r="C151" s="1" t="s">
        <v>227</v>
      </c>
      <c r="D151" s="3" t="s">
        <v>3490</v>
      </c>
      <c r="E151" s="1" t="s">
        <v>1113</v>
      </c>
      <c r="F151" s="1" t="s">
        <v>1232</v>
      </c>
      <c r="G151" s="1" t="s">
        <v>1654</v>
      </c>
      <c r="H151" s="1" t="s">
        <v>2052</v>
      </c>
      <c r="I151" s="1" t="s">
        <v>722</v>
      </c>
    </row>
    <row r="152" spans="1:9" x14ac:dyDescent="0.3">
      <c r="A152" s="3">
        <v>151</v>
      </c>
      <c r="B152" s="1" t="s">
        <v>2372</v>
      </c>
      <c r="C152" s="1" t="s">
        <v>2135</v>
      </c>
      <c r="D152" s="3" t="s">
        <v>3490</v>
      </c>
      <c r="E152" s="1" t="s">
        <v>1118</v>
      </c>
      <c r="F152" s="1" t="s">
        <v>1233</v>
      </c>
      <c r="G152" s="1" t="s">
        <v>1655</v>
      </c>
      <c r="I152" s="1" t="s">
        <v>723</v>
      </c>
    </row>
    <row r="153" spans="1:9" x14ac:dyDescent="0.3">
      <c r="A153" s="3">
        <v>152</v>
      </c>
      <c r="B153" s="1" t="s">
        <v>2373</v>
      </c>
      <c r="C153" s="1" t="s">
        <v>228</v>
      </c>
      <c r="D153" s="3" t="s">
        <v>3489</v>
      </c>
      <c r="E153" s="1" t="s">
        <v>1118</v>
      </c>
      <c r="F153" s="1" t="s">
        <v>1234</v>
      </c>
      <c r="G153" s="1" t="s">
        <v>1656</v>
      </c>
      <c r="H153" s="1" t="s">
        <v>2067</v>
      </c>
      <c r="I153" s="1" t="s">
        <v>724</v>
      </c>
    </row>
    <row r="154" spans="1:9" x14ac:dyDescent="0.3">
      <c r="A154" s="3">
        <v>153</v>
      </c>
      <c r="B154" s="1" t="s">
        <v>2374</v>
      </c>
      <c r="C154" s="1" t="s">
        <v>229</v>
      </c>
      <c r="D154" s="3" t="s">
        <v>3490</v>
      </c>
      <c r="E154" s="1" t="s">
        <v>1113</v>
      </c>
      <c r="F154" s="1" t="s">
        <v>1235</v>
      </c>
      <c r="G154" s="1" t="s">
        <v>1657</v>
      </c>
      <c r="H154" s="1" t="s">
        <v>2088</v>
      </c>
      <c r="I154" s="1" t="s">
        <v>725</v>
      </c>
    </row>
    <row r="155" spans="1:9" x14ac:dyDescent="0.3">
      <c r="A155" s="3">
        <v>154</v>
      </c>
      <c r="B155" s="1" t="s">
        <v>2375</v>
      </c>
      <c r="C155" s="1" t="s">
        <v>2136</v>
      </c>
      <c r="D155" s="3" t="s">
        <v>3490</v>
      </c>
      <c r="E155" s="1" t="s">
        <v>1118</v>
      </c>
      <c r="F155" s="1" t="s">
        <v>1143</v>
      </c>
      <c r="G155" s="1" t="s">
        <v>1658</v>
      </c>
      <c r="H155" s="1" t="s">
        <v>2052</v>
      </c>
      <c r="I155" s="1" t="s">
        <v>726</v>
      </c>
    </row>
    <row r="156" spans="1:9" x14ac:dyDescent="0.3">
      <c r="A156" s="3">
        <v>155</v>
      </c>
      <c r="B156" s="1" t="s">
        <v>2376</v>
      </c>
      <c r="C156" s="1" t="s">
        <v>2137</v>
      </c>
      <c r="D156" s="3" t="s">
        <v>3489</v>
      </c>
      <c r="E156" s="1" t="s">
        <v>1118</v>
      </c>
      <c r="F156" s="1" t="s">
        <v>1236</v>
      </c>
      <c r="G156" s="1" t="s">
        <v>1659</v>
      </c>
      <c r="I156" s="1" t="s">
        <v>727</v>
      </c>
    </row>
    <row r="157" spans="1:9" x14ac:dyDescent="0.3">
      <c r="A157" s="3">
        <v>156</v>
      </c>
      <c r="B157" s="1" t="s">
        <v>2377</v>
      </c>
      <c r="C157" s="1" t="s">
        <v>230</v>
      </c>
      <c r="D157" s="3" t="s">
        <v>3490</v>
      </c>
      <c r="E157" s="1" t="s">
        <v>1118</v>
      </c>
      <c r="F157" s="1" t="s">
        <v>1237</v>
      </c>
      <c r="G157" s="1" t="s">
        <v>1660</v>
      </c>
      <c r="I157" s="1" t="s">
        <v>728</v>
      </c>
    </row>
    <row r="158" spans="1:9" x14ac:dyDescent="0.3">
      <c r="A158" s="3">
        <v>157</v>
      </c>
      <c r="B158" s="1" t="s">
        <v>2378</v>
      </c>
      <c r="C158" s="1" t="s">
        <v>231</v>
      </c>
      <c r="D158" s="3" t="s">
        <v>3490</v>
      </c>
      <c r="E158" s="1" t="s">
        <v>1118</v>
      </c>
      <c r="F158" s="1" t="s">
        <v>1143</v>
      </c>
      <c r="G158" s="1" t="s">
        <v>1661</v>
      </c>
      <c r="I158" s="1" t="s">
        <v>729</v>
      </c>
    </row>
    <row r="159" spans="1:9" x14ac:dyDescent="0.3">
      <c r="A159" s="3">
        <v>158</v>
      </c>
      <c r="B159" s="1" t="s">
        <v>2379</v>
      </c>
      <c r="C159" s="1" t="s">
        <v>232</v>
      </c>
      <c r="D159" s="3" t="s">
        <v>3490</v>
      </c>
      <c r="E159" s="1" t="s">
        <v>1113</v>
      </c>
      <c r="F159" s="1" t="s">
        <v>1238</v>
      </c>
      <c r="G159" s="1" t="s">
        <v>1662</v>
      </c>
      <c r="I159" s="1" t="s">
        <v>730</v>
      </c>
    </row>
    <row r="160" spans="1:9" x14ac:dyDescent="0.3">
      <c r="A160" s="3">
        <v>159</v>
      </c>
      <c r="B160" s="1" t="s">
        <v>2380</v>
      </c>
      <c r="C160" s="1" t="s">
        <v>233</v>
      </c>
      <c r="D160" s="3" t="s">
        <v>3490</v>
      </c>
      <c r="E160" s="1" t="s">
        <v>1118</v>
      </c>
      <c r="F160" s="1" t="s">
        <v>1230</v>
      </c>
      <c r="G160" s="1" t="s">
        <v>1663</v>
      </c>
      <c r="I160" s="1" t="s">
        <v>731</v>
      </c>
    </row>
    <row r="161" spans="1:9" x14ac:dyDescent="0.3">
      <c r="A161" s="3">
        <v>160</v>
      </c>
      <c r="B161" s="1" t="s">
        <v>2381</v>
      </c>
      <c r="C161" s="1" t="s">
        <v>2138</v>
      </c>
      <c r="D161" s="3" t="s">
        <v>3490</v>
      </c>
      <c r="E161" s="1" t="s">
        <v>1118</v>
      </c>
      <c r="F161" s="1" t="s">
        <v>1239</v>
      </c>
      <c r="G161" s="1" t="s">
        <v>1664</v>
      </c>
      <c r="I161" s="1" t="s">
        <v>732</v>
      </c>
    </row>
    <row r="162" spans="1:9" x14ac:dyDescent="0.3">
      <c r="A162" s="3">
        <v>161</v>
      </c>
      <c r="B162" s="1" t="s">
        <v>2382</v>
      </c>
      <c r="C162" s="1" t="s">
        <v>2139</v>
      </c>
      <c r="D162" s="3" t="s">
        <v>3490</v>
      </c>
      <c r="E162" s="1" t="s">
        <v>1118</v>
      </c>
      <c r="F162" s="1" t="s">
        <v>1240</v>
      </c>
      <c r="G162" s="1" t="s">
        <v>1665</v>
      </c>
      <c r="H162" s="1" t="s">
        <v>2052</v>
      </c>
      <c r="I162" s="1" t="s">
        <v>733</v>
      </c>
    </row>
    <row r="163" spans="1:9" x14ac:dyDescent="0.3">
      <c r="A163" s="3">
        <v>162</v>
      </c>
      <c r="B163" s="1" t="s">
        <v>2383</v>
      </c>
      <c r="C163" s="1" t="s">
        <v>234</v>
      </c>
      <c r="D163" s="3" t="s">
        <v>3489</v>
      </c>
      <c r="E163" s="1" t="s">
        <v>1118</v>
      </c>
      <c r="F163" s="1" t="s">
        <v>29</v>
      </c>
      <c r="G163" s="1" t="s">
        <v>1666</v>
      </c>
      <c r="H163" s="1" t="s">
        <v>2088</v>
      </c>
      <c r="I163" s="1">
        <v>86914040</v>
      </c>
    </row>
    <row r="164" spans="1:9" x14ac:dyDescent="0.3">
      <c r="A164" s="3">
        <v>163</v>
      </c>
      <c r="B164" s="1" t="s">
        <v>2384</v>
      </c>
      <c r="C164" s="1" t="s">
        <v>235</v>
      </c>
      <c r="D164" s="3" t="s">
        <v>3489</v>
      </c>
      <c r="E164" s="1" t="s">
        <v>1114</v>
      </c>
      <c r="F164" s="1" t="s">
        <v>1241</v>
      </c>
      <c r="G164" s="1" t="s">
        <v>1667</v>
      </c>
      <c r="H164" s="1" t="s">
        <v>2068</v>
      </c>
      <c r="I164" s="1" t="s">
        <v>734</v>
      </c>
    </row>
    <row r="165" spans="1:9" x14ac:dyDescent="0.3">
      <c r="A165" s="3">
        <v>164</v>
      </c>
      <c r="B165" s="1" t="s">
        <v>2385</v>
      </c>
      <c r="C165" s="1" t="s">
        <v>236</v>
      </c>
      <c r="D165" s="3" t="s">
        <v>3490</v>
      </c>
      <c r="E165" s="1" t="s">
        <v>1118</v>
      </c>
      <c r="F165" s="1" t="s">
        <v>1242</v>
      </c>
      <c r="G165" s="1" t="s">
        <v>1668</v>
      </c>
      <c r="I165" s="1" t="s">
        <v>735</v>
      </c>
    </row>
    <row r="166" spans="1:9" x14ac:dyDescent="0.3">
      <c r="A166" s="3">
        <v>165</v>
      </c>
      <c r="B166" s="1" t="s">
        <v>2386</v>
      </c>
      <c r="C166" s="1" t="s">
        <v>2140</v>
      </c>
      <c r="D166" s="3" t="s">
        <v>3490</v>
      </c>
      <c r="E166" s="1" t="s">
        <v>1118</v>
      </c>
      <c r="F166" s="1" t="s">
        <v>1243</v>
      </c>
      <c r="G166" s="1" t="s">
        <v>1669</v>
      </c>
      <c r="I166" s="1" t="s">
        <v>736</v>
      </c>
    </row>
    <row r="167" spans="1:9" x14ac:dyDescent="0.3">
      <c r="A167" s="3">
        <v>166</v>
      </c>
      <c r="B167" s="1" t="s">
        <v>2387</v>
      </c>
      <c r="C167" s="1" t="s">
        <v>237</v>
      </c>
      <c r="D167" s="3" t="s">
        <v>3490</v>
      </c>
      <c r="E167" s="1" t="s">
        <v>1118</v>
      </c>
      <c r="F167" s="1" t="s">
        <v>28</v>
      </c>
      <c r="G167" s="1" t="s">
        <v>1670</v>
      </c>
      <c r="H167" s="1" t="s">
        <v>2066</v>
      </c>
      <c r="I167" s="1" t="s">
        <v>737</v>
      </c>
    </row>
    <row r="168" spans="1:9" x14ac:dyDescent="0.3">
      <c r="A168" s="3">
        <v>167</v>
      </c>
      <c r="B168" s="1" t="s">
        <v>2388</v>
      </c>
      <c r="C168" s="1" t="s">
        <v>238</v>
      </c>
      <c r="D168" s="3" t="s">
        <v>3490</v>
      </c>
      <c r="E168" s="1" t="s">
        <v>1118</v>
      </c>
      <c r="F168" s="1" t="s">
        <v>1244</v>
      </c>
      <c r="G168" s="1" t="s">
        <v>1671</v>
      </c>
      <c r="I168" s="1" t="s">
        <v>738</v>
      </c>
    </row>
    <row r="169" spans="1:9" x14ac:dyDescent="0.3">
      <c r="A169" s="3">
        <v>168</v>
      </c>
      <c r="B169" s="1" t="s">
        <v>2389</v>
      </c>
      <c r="C169" s="1" t="s">
        <v>2141</v>
      </c>
      <c r="D169" s="3" t="s">
        <v>3490</v>
      </c>
      <c r="E169" s="1" t="s">
        <v>1113</v>
      </c>
      <c r="F169" s="1" t="s">
        <v>1245</v>
      </c>
      <c r="G169" s="1" t="s">
        <v>1672</v>
      </c>
      <c r="I169" s="1" t="s">
        <v>739</v>
      </c>
    </row>
    <row r="170" spans="1:9" x14ac:dyDescent="0.3">
      <c r="A170" s="3">
        <v>169</v>
      </c>
      <c r="B170" s="1" t="s">
        <v>2390</v>
      </c>
      <c r="C170" s="1" t="s">
        <v>239</v>
      </c>
      <c r="D170" s="3" t="s">
        <v>3489</v>
      </c>
      <c r="E170" s="1" t="s">
        <v>1118</v>
      </c>
      <c r="F170" s="1" t="s">
        <v>1246</v>
      </c>
      <c r="G170" s="1" t="s">
        <v>1673</v>
      </c>
      <c r="H170" s="1" t="s">
        <v>2052</v>
      </c>
      <c r="I170" s="1" t="s">
        <v>740</v>
      </c>
    </row>
    <row r="171" spans="1:9" x14ac:dyDescent="0.3">
      <c r="A171" s="3">
        <v>170</v>
      </c>
      <c r="B171" s="1" t="s">
        <v>2391</v>
      </c>
      <c r="C171" s="1" t="s">
        <v>2142</v>
      </c>
      <c r="D171" s="3" t="s">
        <v>3490</v>
      </c>
      <c r="E171" s="1" t="s">
        <v>1113</v>
      </c>
      <c r="F171" s="1" t="s">
        <v>1247</v>
      </c>
      <c r="G171" s="1" t="s">
        <v>1635</v>
      </c>
      <c r="I171" s="1" t="s">
        <v>741</v>
      </c>
    </row>
    <row r="172" spans="1:9" x14ac:dyDescent="0.3">
      <c r="A172" s="3">
        <v>171</v>
      </c>
      <c r="B172" s="1" t="s">
        <v>2392</v>
      </c>
      <c r="C172" s="1" t="s">
        <v>2143</v>
      </c>
      <c r="D172" s="3" t="s">
        <v>3489</v>
      </c>
      <c r="E172" s="1" t="s">
        <v>1113</v>
      </c>
      <c r="F172" s="1" t="s">
        <v>1245</v>
      </c>
      <c r="G172" s="1" t="s">
        <v>1674</v>
      </c>
      <c r="H172" s="1" t="s">
        <v>2052</v>
      </c>
      <c r="I172" s="1" t="s">
        <v>742</v>
      </c>
    </row>
    <row r="173" spans="1:9" x14ac:dyDescent="0.3">
      <c r="A173" s="3">
        <v>172</v>
      </c>
      <c r="B173" s="1" t="s">
        <v>2393</v>
      </c>
      <c r="C173" s="1" t="s">
        <v>240</v>
      </c>
      <c r="D173" s="3" t="s">
        <v>3490</v>
      </c>
      <c r="E173" s="1" t="s">
        <v>1118</v>
      </c>
      <c r="F173" s="1" t="s">
        <v>42</v>
      </c>
      <c r="I173" s="1" t="s">
        <v>743</v>
      </c>
    </row>
    <row r="174" spans="1:9" x14ac:dyDescent="0.3">
      <c r="A174" s="3">
        <v>173</v>
      </c>
      <c r="B174" s="1" t="s">
        <v>2394</v>
      </c>
      <c r="C174" s="1" t="s">
        <v>2144</v>
      </c>
      <c r="E174" s="1" t="s">
        <v>1118</v>
      </c>
      <c r="F174" s="1" t="s">
        <v>1248</v>
      </c>
      <c r="G174" s="1" t="s">
        <v>1675</v>
      </c>
      <c r="I174" s="1" t="s">
        <v>744</v>
      </c>
    </row>
    <row r="175" spans="1:9" x14ac:dyDescent="0.3">
      <c r="A175" s="3">
        <v>174</v>
      </c>
      <c r="B175" s="1" t="s">
        <v>2395</v>
      </c>
      <c r="C175" s="1" t="s">
        <v>2145</v>
      </c>
      <c r="D175" s="3" t="s">
        <v>3489</v>
      </c>
      <c r="E175" s="1" t="s">
        <v>1118</v>
      </c>
      <c r="F175" s="1" t="s">
        <v>1249</v>
      </c>
      <c r="G175" s="1" t="s">
        <v>1676</v>
      </c>
      <c r="I175" s="1" t="s">
        <v>745</v>
      </c>
    </row>
    <row r="176" spans="1:9" x14ac:dyDescent="0.3">
      <c r="A176" s="3">
        <v>175</v>
      </c>
      <c r="B176" s="1" t="s">
        <v>2396</v>
      </c>
      <c r="C176" s="1" t="s">
        <v>2146</v>
      </c>
      <c r="D176" s="3" t="s">
        <v>3489</v>
      </c>
      <c r="E176" s="1" t="s">
        <v>1118</v>
      </c>
      <c r="F176" s="1" t="s">
        <v>1186</v>
      </c>
      <c r="G176" s="1" t="s">
        <v>1677</v>
      </c>
      <c r="I176" s="1" t="s">
        <v>746</v>
      </c>
    </row>
    <row r="177" spans="1:9" x14ac:dyDescent="0.3">
      <c r="A177" s="3">
        <v>176</v>
      </c>
      <c r="B177" s="1" t="s">
        <v>2397</v>
      </c>
      <c r="C177" s="1" t="s">
        <v>241</v>
      </c>
      <c r="D177" s="3" t="s">
        <v>3490</v>
      </c>
      <c r="E177" s="1" t="s">
        <v>1118</v>
      </c>
      <c r="F177" s="1" t="s">
        <v>1250</v>
      </c>
      <c r="G177" s="1" t="s">
        <v>1678</v>
      </c>
      <c r="I177" s="1" t="s">
        <v>747</v>
      </c>
    </row>
    <row r="178" spans="1:9" x14ac:dyDescent="0.3">
      <c r="A178" s="3">
        <v>177</v>
      </c>
      <c r="B178" s="1" t="s">
        <v>2398</v>
      </c>
      <c r="C178" s="1" t="s">
        <v>2147</v>
      </c>
      <c r="D178" s="3" t="s">
        <v>3489</v>
      </c>
      <c r="E178" s="1" t="s">
        <v>1118</v>
      </c>
      <c r="F178" s="1" t="s">
        <v>1186</v>
      </c>
      <c r="G178" s="1" t="s">
        <v>1679</v>
      </c>
      <c r="I178" s="1" t="s">
        <v>748</v>
      </c>
    </row>
    <row r="179" spans="1:9" x14ac:dyDescent="0.3">
      <c r="A179" s="3">
        <v>178</v>
      </c>
      <c r="B179" s="1" t="s">
        <v>2399</v>
      </c>
      <c r="C179" s="1" t="s">
        <v>2148</v>
      </c>
      <c r="D179" s="3" t="s">
        <v>3490</v>
      </c>
      <c r="E179" s="1" t="s">
        <v>1118</v>
      </c>
      <c r="F179" s="1" t="s">
        <v>1166</v>
      </c>
      <c r="G179" s="1" t="s">
        <v>1680</v>
      </c>
      <c r="I179" s="1" t="s">
        <v>749</v>
      </c>
    </row>
    <row r="180" spans="1:9" x14ac:dyDescent="0.3">
      <c r="A180" s="3">
        <v>179</v>
      </c>
      <c r="B180" s="1" t="s">
        <v>2400</v>
      </c>
      <c r="C180" s="1" t="s">
        <v>2149</v>
      </c>
      <c r="D180" s="3" t="s">
        <v>3490</v>
      </c>
      <c r="E180" s="1" t="s">
        <v>1113</v>
      </c>
      <c r="F180" s="1" t="s">
        <v>1251</v>
      </c>
      <c r="G180" s="1" t="s">
        <v>1681</v>
      </c>
      <c r="I180" s="1" t="s">
        <v>750</v>
      </c>
    </row>
    <row r="181" spans="1:9" x14ac:dyDescent="0.3">
      <c r="A181" s="3">
        <v>180</v>
      </c>
      <c r="B181" s="1" t="s">
        <v>2401</v>
      </c>
      <c r="C181" s="1" t="s">
        <v>2150</v>
      </c>
      <c r="D181" s="3" t="s">
        <v>3490</v>
      </c>
      <c r="E181" s="1" t="s">
        <v>1118</v>
      </c>
      <c r="F181" s="1" t="s">
        <v>1252</v>
      </c>
      <c r="G181" s="1" t="s">
        <v>1682</v>
      </c>
      <c r="I181" s="1" t="s">
        <v>751</v>
      </c>
    </row>
    <row r="182" spans="1:9" x14ac:dyDescent="0.3">
      <c r="A182" s="3">
        <v>181</v>
      </c>
      <c r="B182" s="1" t="s">
        <v>2402</v>
      </c>
      <c r="C182" s="1" t="s">
        <v>242</v>
      </c>
      <c r="D182" s="3" t="s">
        <v>3489</v>
      </c>
      <c r="E182" s="1" t="s">
        <v>1118</v>
      </c>
      <c r="F182" s="1" t="s">
        <v>1253</v>
      </c>
      <c r="G182" s="1" t="s">
        <v>1683</v>
      </c>
      <c r="H182" s="1" t="s">
        <v>2052</v>
      </c>
      <c r="I182" s="1" t="s">
        <v>752</v>
      </c>
    </row>
    <row r="183" spans="1:9" x14ac:dyDescent="0.3">
      <c r="A183" s="3">
        <v>182</v>
      </c>
      <c r="B183" s="1" t="s">
        <v>2403</v>
      </c>
      <c r="C183" s="1" t="s">
        <v>2151</v>
      </c>
      <c r="D183" s="3" t="s">
        <v>3490</v>
      </c>
      <c r="E183" s="1" t="s">
        <v>1118</v>
      </c>
      <c r="F183" s="1" t="s">
        <v>1254</v>
      </c>
      <c r="G183" s="1" t="s">
        <v>1684</v>
      </c>
      <c r="H183" s="1" t="s">
        <v>2052</v>
      </c>
      <c r="I183" s="1" t="s">
        <v>753</v>
      </c>
    </row>
    <row r="184" spans="1:9" x14ac:dyDescent="0.3">
      <c r="A184" s="3">
        <v>183</v>
      </c>
      <c r="B184" s="1" t="s">
        <v>2404</v>
      </c>
      <c r="C184" s="1" t="s">
        <v>2152</v>
      </c>
      <c r="D184" s="3" t="s">
        <v>3489</v>
      </c>
      <c r="E184" s="1" t="s">
        <v>1118</v>
      </c>
      <c r="F184" s="1" t="s">
        <v>1186</v>
      </c>
      <c r="G184" s="1" t="s">
        <v>1685</v>
      </c>
      <c r="I184" s="1" t="s">
        <v>754</v>
      </c>
    </row>
    <row r="185" spans="1:9" x14ac:dyDescent="0.3">
      <c r="A185" s="3">
        <v>184</v>
      </c>
      <c r="B185" s="1" t="s">
        <v>2405</v>
      </c>
      <c r="C185" s="1" t="s">
        <v>243</v>
      </c>
      <c r="D185" s="3" t="s">
        <v>3490</v>
      </c>
      <c r="E185" s="1" t="s">
        <v>1118</v>
      </c>
      <c r="F185" s="1" t="s">
        <v>1213</v>
      </c>
      <c r="G185" s="1" t="s">
        <v>1686</v>
      </c>
      <c r="H185" s="1" t="s">
        <v>2066</v>
      </c>
    </row>
    <row r="186" spans="1:9" x14ac:dyDescent="0.3">
      <c r="A186" s="3">
        <v>185</v>
      </c>
      <c r="B186" s="1" t="s">
        <v>2406</v>
      </c>
      <c r="C186" s="1" t="s">
        <v>244</v>
      </c>
      <c r="D186" s="3" t="s">
        <v>3490</v>
      </c>
      <c r="E186" s="1" t="s">
        <v>1118</v>
      </c>
      <c r="F186" s="1" t="s">
        <v>1255</v>
      </c>
      <c r="G186" s="1" t="s">
        <v>1687</v>
      </c>
      <c r="H186" s="1" t="s">
        <v>2052</v>
      </c>
      <c r="I186" s="1" t="s">
        <v>2842</v>
      </c>
    </row>
    <row r="187" spans="1:9" x14ac:dyDescent="0.3">
      <c r="A187" s="3">
        <v>186</v>
      </c>
      <c r="B187" s="1" t="s">
        <v>2407</v>
      </c>
      <c r="C187" s="1" t="s">
        <v>2153</v>
      </c>
      <c r="D187" s="3" t="s">
        <v>3490</v>
      </c>
      <c r="E187" s="1" t="s">
        <v>1115</v>
      </c>
      <c r="F187" s="1" t="s">
        <v>1256</v>
      </c>
      <c r="G187" s="1" t="s">
        <v>1688</v>
      </c>
      <c r="I187" s="1" t="s">
        <v>755</v>
      </c>
    </row>
    <row r="188" spans="1:9" x14ac:dyDescent="0.3">
      <c r="A188" s="3">
        <v>187</v>
      </c>
      <c r="B188" s="1" t="s">
        <v>2408</v>
      </c>
      <c r="C188" s="1" t="s">
        <v>2154</v>
      </c>
      <c r="D188" s="3" t="s">
        <v>3490</v>
      </c>
      <c r="E188" s="1" t="s">
        <v>1118</v>
      </c>
      <c r="F188" s="1" t="s">
        <v>1257</v>
      </c>
      <c r="G188" s="1" t="s">
        <v>1689</v>
      </c>
      <c r="H188" s="1" t="s">
        <v>2052</v>
      </c>
      <c r="I188" s="1" t="s">
        <v>756</v>
      </c>
    </row>
    <row r="189" spans="1:9" x14ac:dyDescent="0.3">
      <c r="A189" s="3">
        <v>188</v>
      </c>
      <c r="B189" s="1" t="s">
        <v>2409</v>
      </c>
      <c r="C189" s="1" t="s">
        <v>245</v>
      </c>
      <c r="D189" s="3" t="s">
        <v>3490</v>
      </c>
      <c r="E189" s="1" t="s">
        <v>1118</v>
      </c>
      <c r="F189" s="1" t="s">
        <v>1258</v>
      </c>
      <c r="G189" s="1" t="s">
        <v>1690</v>
      </c>
      <c r="I189" s="1" t="s">
        <v>757</v>
      </c>
    </row>
    <row r="190" spans="1:9" x14ac:dyDescent="0.3">
      <c r="A190" s="3">
        <v>189</v>
      </c>
      <c r="B190" s="1" t="s">
        <v>2410</v>
      </c>
      <c r="C190" s="1" t="s">
        <v>246</v>
      </c>
      <c r="D190" s="3" t="s">
        <v>3490</v>
      </c>
      <c r="E190" s="1" t="s">
        <v>1118</v>
      </c>
      <c r="F190" s="1" t="s">
        <v>1259</v>
      </c>
      <c r="G190" s="1" t="s">
        <v>1691</v>
      </c>
      <c r="H190" s="1" t="s">
        <v>2061</v>
      </c>
    </row>
    <row r="191" spans="1:9" x14ac:dyDescent="0.3">
      <c r="A191" s="3">
        <v>190</v>
      </c>
      <c r="B191" s="1" t="s">
        <v>2411</v>
      </c>
      <c r="C191" s="1" t="s">
        <v>247</v>
      </c>
      <c r="D191" s="3" t="s">
        <v>3490</v>
      </c>
      <c r="E191" s="1" t="s">
        <v>1118</v>
      </c>
      <c r="F191" s="1" t="s">
        <v>1202</v>
      </c>
      <c r="G191" s="1" t="s">
        <v>1692</v>
      </c>
      <c r="I191" s="1" t="s">
        <v>758</v>
      </c>
    </row>
    <row r="192" spans="1:9" x14ac:dyDescent="0.3">
      <c r="A192" s="3">
        <v>191</v>
      </c>
      <c r="B192" s="1" t="s">
        <v>2412</v>
      </c>
      <c r="C192" s="1" t="s">
        <v>248</v>
      </c>
      <c r="D192" s="3" t="s">
        <v>3490</v>
      </c>
      <c r="E192" s="1" t="s">
        <v>1118</v>
      </c>
      <c r="F192" s="1" t="s">
        <v>1260</v>
      </c>
      <c r="G192" s="1" t="s">
        <v>1693</v>
      </c>
      <c r="I192" s="1" t="s">
        <v>759</v>
      </c>
    </row>
    <row r="193" spans="1:9" x14ac:dyDescent="0.3">
      <c r="A193" s="3">
        <v>192</v>
      </c>
      <c r="B193" s="1" t="s">
        <v>2413</v>
      </c>
      <c r="C193" s="1" t="s">
        <v>249</v>
      </c>
      <c r="D193" s="3" t="s">
        <v>3490</v>
      </c>
      <c r="E193" s="1" t="s">
        <v>1118</v>
      </c>
      <c r="F193" s="1" t="s">
        <v>1261</v>
      </c>
      <c r="G193" s="1" t="s">
        <v>1694</v>
      </c>
      <c r="H193" s="1" t="s">
        <v>2052</v>
      </c>
      <c r="I193" s="1" t="s">
        <v>760</v>
      </c>
    </row>
    <row r="194" spans="1:9" x14ac:dyDescent="0.3">
      <c r="A194" s="3">
        <v>193</v>
      </c>
      <c r="B194" s="1" t="s">
        <v>2414</v>
      </c>
      <c r="C194" s="1" t="s">
        <v>2155</v>
      </c>
      <c r="D194" s="3" t="s">
        <v>3490</v>
      </c>
      <c r="E194" s="1" t="s">
        <v>1118</v>
      </c>
      <c r="F194" s="1" t="s">
        <v>1262</v>
      </c>
      <c r="G194" s="1" t="s">
        <v>1695</v>
      </c>
      <c r="H194" s="1" t="s">
        <v>2052</v>
      </c>
      <c r="I194" s="1" t="s">
        <v>761</v>
      </c>
    </row>
    <row r="195" spans="1:9" x14ac:dyDescent="0.3">
      <c r="A195" s="3">
        <v>194</v>
      </c>
      <c r="B195" s="1" t="s">
        <v>2415</v>
      </c>
      <c r="C195" s="1" t="s">
        <v>2156</v>
      </c>
      <c r="D195" s="3" t="s">
        <v>3490</v>
      </c>
      <c r="E195" s="1" t="s">
        <v>1118</v>
      </c>
      <c r="F195" s="1" t="s">
        <v>1263</v>
      </c>
      <c r="G195" s="1" t="s">
        <v>1696</v>
      </c>
      <c r="I195" s="1" t="s">
        <v>762</v>
      </c>
    </row>
    <row r="196" spans="1:9" x14ac:dyDescent="0.3">
      <c r="A196" s="3">
        <v>195</v>
      </c>
      <c r="B196" s="1" t="s">
        <v>2416</v>
      </c>
      <c r="C196" s="1" t="s">
        <v>2157</v>
      </c>
      <c r="D196" s="3" t="s">
        <v>3490</v>
      </c>
      <c r="E196" s="1" t="s">
        <v>1118</v>
      </c>
      <c r="F196" s="1" t="s">
        <v>1264</v>
      </c>
      <c r="G196" s="1" t="s">
        <v>1697</v>
      </c>
      <c r="I196" s="1" t="s">
        <v>763</v>
      </c>
    </row>
    <row r="197" spans="1:9" x14ac:dyDescent="0.3">
      <c r="A197" s="3">
        <v>196</v>
      </c>
      <c r="B197" s="1" t="s">
        <v>2417</v>
      </c>
      <c r="C197" s="1" t="s">
        <v>2158</v>
      </c>
      <c r="D197" s="3" t="s">
        <v>3490</v>
      </c>
      <c r="E197" s="1" t="s">
        <v>1113</v>
      </c>
      <c r="F197" s="1" t="s">
        <v>1265</v>
      </c>
      <c r="G197" s="1" t="s">
        <v>1698</v>
      </c>
      <c r="I197" s="1" t="s">
        <v>764</v>
      </c>
    </row>
    <row r="198" spans="1:9" x14ac:dyDescent="0.3">
      <c r="A198" s="3">
        <v>197</v>
      </c>
      <c r="B198" s="1" t="s">
        <v>2418</v>
      </c>
      <c r="C198" s="1" t="s">
        <v>2159</v>
      </c>
      <c r="D198" s="3" t="s">
        <v>3489</v>
      </c>
      <c r="E198" s="1" t="s">
        <v>1118</v>
      </c>
      <c r="F198" s="1" t="s">
        <v>1186</v>
      </c>
      <c r="G198" s="1" t="s">
        <v>1699</v>
      </c>
      <c r="I198" s="1" t="s">
        <v>765</v>
      </c>
    </row>
    <row r="199" spans="1:9" x14ac:dyDescent="0.3">
      <c r="A199" s="3">
        <v>198</v>
      </c>
      <c r="B199" s="1" t="s">
        <v>2419</v>
      </c>
      <c r="C199" s="1" t="s">
        <v>2160</v>
      </c>
      <c r="D199" s="3" t="s">
        <v>3490</v>
      </c>
      <c r="E199" s="1" t="s">
        <v>1118</v>
      </c>
      <c r="F199" s="1" t="s">
        <v>1227</v>
      </c>
      <c r="G199" s="1" t="s">
        <v>1700</v>
      </c>
      <c r="H199" s="1" t="s">
        <v>2052</v>
      </c>
      <c r="I199" s="1" t="s">
        <v>766</v>
      </c>
    </row>
    <row r="200" spans="1:9" x14ac:dyDescent="0.3">
      <c r="A200" s="3">
        <v>199</v>
      </c>
      <c r="B200" s="1" t="s">
        <v>2420</v>
      </c>
      <c r="C200" s="1" t="s">
        <v>2161</v>
      </c>
      <c r="D200" s="3" t="s">
        <v>3490</v>
      </c>
      <c r="E200" s="1" t="s">
        <v>1118</v>
      </c>
      <c r="F200" s="1" t="s">
        <v>1266</v>
      </c>
      <c r="G200" s="1" t="s">
        <v>1701</v>
      </c>
      <c r="I200" s="1" t="s">
        <v>767</v>
      </c>
    </row>
    <row r="201" spans="1:9" x14ac:dyDescent="0.3">
      <c r="A201" s="3">
        <v>200</v>
      </c>
      <c r="B201" s="1" t="s">
        <v>2421</v>
      </c>
      <c r="C201" s="1" t="s">
        <v>2162</v>
      </c>
      <c r="D201" s="3" t="s">
        <v>3490</v>
      </c>
      <c r="E201" s="1" t="s">
        <v>1118</v>
      </c>
      <c r="F201" s="1" t="s">
        <v>1267</v>
      </c>
      <c r="G201" s="1" t="s">
        <v>1702</v>
      </c>
      <c r="I201" s="1" t="s">
        <v>768</v>
      </c>
    </row>
    <row r="202" spans="1:9" x14ac:dyDescent="0.3">
      <c r="A202" s="3">
        <v>201</v>
      </c>
      <c r="B202" s="1" t="s">
        <v>2422</v>
      </c>
      <c r="C202" s="1" t="s">
        <v>2163</v>
      </c>
      <c r="D202" s="3" t="s">
        <v>3490</v>
      </c>
      <c r="E202" s="1" t="s">
        <v>1118</v>
      </c>
      <c r="F202" s="1" t="s">
        <v>1268</v>
      </c>
      <c r="G202" s="1" t="s">
        <v>1703</v>
      </c>
      <c r="I202" s="1" t="s">
        <v>769</v>
      </c>
    </row>
    <row r="203" spans="1:9" x14ac:dyDescent="0.3">
      <c r="A203" s="3">
        <v>202</v>
      </c>
      <c r="B203" s="1" t="s">
        <v>2423</v>
      </c>
      <c r="C203" s="1" t="s">
        <v>2164</v>
      </c>
      <c r="D203" s="3" t="s">
        <v>3490</v>
      </c>
      <c r="E203" s="1" t="s">
        <v>1118</v>
      </c>
      <c r="F203" s="1" t="s">
        <v>1269</v>
      </c>
      <c r="G203" s="1" t="s">
        <v>1704</v>
      </c>
      <c r="I203" s="1" t="s">
        <v>770</v>
      </c>
    </row>
    <row r="204" spans="1:9" x14ac:dyDescent="0.3">
      <c r="A204" s="3">
        <v>203</v>
      </c>
      <c r="B204" s="1" t="s">
        <v>2424</v>
      </c>
      <c r="C204" s="1" t="s">
        <v>250</v>
      </c>
      <c r="D204" s="3" t="s">
        <v>3490</v>
      </c>
      <c r="E204" s="1" t="s">
        <v>1117</v>
      </c>
      <c r="F204" s="1" t="s">
        <v>1270</v>
      </c>
      <c r="G204" s="1" t="s">
        <v>1705</v>
      </c>
      <c r="H204" s="1" t="s">
        <v>2088</v>
      </c>
      <c r="I204" s="1" t="s">
        <v>771</v>
      </c>
    </row>
    <row r="205" spans="1:9" x14ac:dyDescent="0.3">
      <c r="A205" s="3">
        <v>204</v>
      </c>
      <c r="B205" s="1" t="s">
        <v>2425</v>
      </c>
      <c r="C205" s="1" t="s">
        <v>251</v>
      </c>
      <c r="D205" s="3" t="s">
        <v>3489</v>
      </c>
      <c r="E205" s="1" t="s">
        <v>1115</v>
      </c>
    </row>
    <row r="206" spans="1:9" x14ac:dyDescent="0.3">
      <c r="A206" s="3">
        <v>205</v>
      </c>
      <c r="B206" s="1" t="s">
        <v>2426</v>
      </c>
      <c r="C206" s="1" t="s">
        <v>252</v>
      </c>
      <c r="D206" s="3" t="s">
        <v>3489</v>
      </c>
      <c r="E206" s="1" t="s">
        <v>1113</v>
      </c>
      <c r="F206" s="1" t="s">
        <v>28</v>
      </c>
      <c r="G206" s="1" t="s">
        <v>1706</v>
      </c>
      <c r="H206" s="1" t="s">
        <v>2075</v>
      </c>
      <c r="I206" s="1" t="s">
        <v>772</v>
      </c>
    </row>
    <row r="207" spans="1:9" x14ac:dyDescent="0.3">
      <c r="A207" s="3">
        <v>206</v>
      </c>
      <c r="B207" s="1" t="s">
        <v>2427</v>
      </c>
      <c r="C207" s="1" t="s">
        <v>2165</v>
      </c>
      <c r="D207" s="3" t="s">
        <v>3490</v>
      </c>
      <c r="E207" s="1" t="s">
        <v>1118</v>
      </c>
      <c r="F207" s="1" t="s">
        <v>1271</v>
      </c>
      <c r="G207" s="1" t="s">
        <v>1707</v>
      </c>
      <c r="H207" s="1" t="s">
        <v>2069</v>
      </c>
      <c r="I207" s="1" t="s">
        <v>773</v>
      </c>
    </row>
    <row r="208" spans="1:9" x14ac:dyDescent="0.3">
      <c r="A208" s="3">
        <v>207</v>
      </c>
      <c r="B208" s="1" t="s">
        <v>2428</v>
      </c>
      <c r="C208" s="1" t="s">
        <v>2166</v>
      </c>
      <c r="D208" s="3" t="s">
        <v>3490</v>
      </c>
      <c r="E208" s="1" t="s">
        <v>1118</v>
      </c>
      <c r="F208" s="1" t="s">
        <v>1272</v>
      </c>
      <c r="G208" s="1" t="s">
        <v>1708</v>
      </c>
      <c r="I208" s="1" t="s">
        <v>774</v>
      </c>
    </row>
    <row r="209" spans="1:9" x14ac:dyDescent="0.3">
      <c r="A209" s="3">
        <v>208</v>
      </c>
      <c r="B209" s="1" t="s">
        <v>2429</v>
      </c>
      <c r="C209" s="1" t="s">
        <v>2167</v>
      </c>
      <c r="D209" s="3" t="s">
        <v>3490</v>
      </c>
      <c r="E209" s="1" t="s">
        <v>1118</v>
      </c>
      <c r="F209" s="1" t="s">
        <v>1143</v>
      </c>
      <c r="G209" s="1" t="s">
        <v>1709</v>
      </c>
      <c r="H209" s="1" t="s">
        <v>2052</v>
      </c>
      <c r="I209" s="1" t="s">
        <v>775</v>
      </c>
    </row>
    <row r="210" spans="1:9" x14ac:dyDescent="0.3">
      <c r="A210" s="3">
        <v>209</v>
      </c>
      <c r="B210" s="1" t="s">
        <v>2430</v>
      </c>
      <c r="C210" s="1" t="s">
        <v>2168</v>
      </c>
      <c r="D210" s="3" t="s">
        <v>3489</v>
      </c>
      <c r="E210" s="1" t="s">
        <v>1118</v>
      </c>
      <c r="F210" s="1" t="s">
        <v>1273</v>
      </c>
      <c r="G210" s="1" t="s">
        <v>1710</v>
      </c>
      <c r="H210" s="1" t="s">
        <v>2052</v>
      </c>
      <c r="I210" s="1" t="s">
        <v>2843</v>
      </c>
    </row>
    <row r="211" spans="1:9" x14ac:dyDescent="0.3">
      <c r="A211" s="3">
        <v>210</v>
      </c>
      <c r="B211" s="1" t="s">
        <v>2431</v>
      </c>
      <c r="C211" s="1" t="s">
        <v>2169</v>
      </c>
      <c r="D211" s="3" t="s">
        <v>3490</v>
      </c>
      <c r="E211" s="1" t="s">
        <v>1118</v>
      </c>
      <c r="F211" s="1" t="s">
        <v>1274</v>
      </c>
      <c r="G211" s="1" t="s">
        <v>1711</v>
      </c>
      <c r="I211" s="1" t="s">
        <v>776</v>
      </c>
    </row>
    <row r="212" spans="1:9" x14ac:dyDescent="0.3">
      <c r="A212" s="3">
        <v>211</v>
      </c>
      <c r="B212" s="1" t="s">
        <v>2432</v>
      </c>
      <c r="C212" s="1" t="s">
        <v>253</v>
      </c>
      <c r="D212" s="3" t="s">
        <v>3490</v>
      </c>
      <c r="E212" s="1" t="s">
        <v>1118</v>
      </c>
      <c r="F212" s="1" t="s">
        <v>1275</v>
      </c>
      <c r="G212" s="1" t="s">
        <v>1712</v>
      </c>
      <c r="H212" s="1" t="s">
        <v>2059</v>
      </c>
      <c r="I212" s="1" t="s">
        <v>2844</v>
      </c>
    </row>
    <row r="213" spans="1:9" x14ac:dyDescent="0.3">
      <c r="A213" s="3">
        <v>212</v>
      </c>
      <c r="B213" s="1" t="s">
        <v>2433</v>
      </c>
      <c r="C213" s="1" t="s">
        <v>254</v>
      </c>
      <c r="D213" s="3" t="s">
        <v>3490</v>
      </c>
      <c r="E213" s="1" t="s">
        <v>1118</v>
      </c>
      <c r="F213" s="1" t="s">
        <v>1276</v>
      </c>
      <c r="G213" s="1" t="s">
        <v>1713</v>
      </c>
      <c r="H213" s="1" t="s">
        <v>2052</v>
      </c>
      <c r="I213" s="1" t="s">
        <v>777</v>
      </c>
    </row>
    <row r="214" spans="1:9" x14ac:dyDescent="0.3">
      <c r="A214" s="3">
        <v>213</v>
      </c>
      <c r="B214" s="1" t="s">
        <v>2434</v>
      </c>
      <c r="C214" s="1" t="s">
        <v>2170</v>
      </c>
      <c r="D214" s="3" t="s">
        <v>3489</v>
      </c>
      <c r="E214" s="1" t="s">
        <v>1118</v>
      </c>
      <c r="F214" s="1" t="s">
        <v>69</v>
      </c>
      <c r="G214" s="1" t="s">
        <v>1714</v>
      </c>
      <c r="H214" s="1" t="s">
        <v>2052</v>
      </c>
      <c r="I214" s="1" t="s">
        <v>778</v>
      </c>
    </row>
    <row r="215" spans="1:9" x14ac:dyDescent="0.3">
      <c r="A215" s="3">
        <v>214</v>
      </c>
      <c r="B215" s="1" t="s">
        <v>2435</v>
      </c>
      <c r="C215" s="1" t="s">
        <v>2171</v>
      </c>
      <c r="D215" s="3" t="s">
        <v>3489</v>
      </c>
      <c r="E215" s="1" t="s">
        <v>1113</v>
      </c>
      <c r="F215" s="1" t="s">
        <v>1277</v>
      </c>
      <c r="G215" s="1" t="s">
        <v>1715</v>
      </c>
      <c r="H215" s="1" t="s">
        <v>2052</v>
      </c>
      <c r="I215" s="1" t="s">
        <v>779</v>
      </c>
    </row>
    <row r="216" spans="1:9" x14ac:dyDescent="0.3">
      <c r="A216" s="3">
        <v>215</v>
      </c>
      <c r="B216" s="1" t="s">
        <v>2436</v>
      </c>
      <c r="C216" s="1" t="s">
        <v>2172</v>
      </c>
      <c r="D216" s="3" t="s">
        <v>3490</v>
      </c>
      <c r="E216" s="1" t="s">
        <v>1118</v>
      </c>
      <c r="F216" s="1" t="s">
        <v>1278</v>
      </c>
      <c r="G216" s="1" t="s">
        <v>1716</v>
      </c>
      <c r="H216" s="1" t="s">
        <v>2052</v>
      </c>
      <c r="I216" s="1" t="s">
        <v>780</v>
      </c>
    </row>
    <row r="217" spans="1:9" x14ac:dyDescent="0.3">
      <c r="A217" s="3">
        <v>216</v>
      </c>
      <c r="B217" s="1" t="s">
        <v>2437</v>
      </c>
      <c r="C217" s="1" t="s">
        <v>2173</v>
      </c>
      <c r="D217" s="3" t="s">
        <v>3490</v>
      </c>
      <c r="E217" s="1" t="s">
        <v>1118</v>
      </c>
      <c r="F217" s="1" t="s">
        <v>1279</v>
      </c>
      <c r="G217" s="1" t="s">
        <v>1717</v>
      </c>
      <c r="I217" s="1" t="s">
        <v>781</v>
      </c>
    </row>
    <row r="218" spans="1:9" x14ac:dyDescent="0.3">
      <c r="A218" s="3">
        <v>217</v>
      </c>
      <c r="B218" s="1" t="s">
        <v>2438</v>
      </c>
      <c r="C218" s="1" t="s">
        <v>2174</v>
      </c>
      <c r="D218" s="3" t="s">
        <v>3490</v>
      </c>
      <c r="E218" s="1" t="s">
        <v>1118</v>
      </c>
      <c r="F218" s="1" t="s">
        <v>1280</v>
      </c>
      <c r="G218" s="1" t="s">
        <v>1718</v>
      </c>
      <c r="I218" s="1" t="s">
        <v>782</v>
      </c>
    </row>
    <row r="219" spans="1:9" x14ac:dyDescent="0.3">
      <c r="A219" s="3">
        <v>218</v>
      </c>
      <c r="B219" s="1" t="s">
        <v>2439</v>
      </c>
      <c r="C219" s="1" t="s">
        <v>255</v>
      </c>
      <c r="D219" s="3" t="s">
        <v>3490</v>
      </c>
      <c r="E219" s="1" t="s">
        <v>1119</v>
      </c>
      <c r="F219" s="1" t="s">
        <v>1188</v>
      </c>
      <c r="G219" s="1" t="s">
        <v>1620</v>
      </c>
      <c r="H219" s="1" t="s">
        <v>2075</v>
      </c>
      <c r="I219" s="1" t="s">
        <v>783</v>
      </c>
    </row>
    <row r="220" spans="1:9" x14ac:dyDescent="0.3">
      <c r="A220" s="3">
        <v>219</v>
      </c>
      <c r="B220" s="1" t="s">
        <v>2440</v>
      </c>
      <c r="C220" s="1" t="s">
        <v>256</v>
      </c>
      <c r="D220" s="3" t="s">
        <v>3490</v>
      </c>
      <c r="E220" s="1" t="s">
        <v>1113</v>
      </c>
      <c r="F220" s="1" t="s">
        <v>1251</v>
      </c>
      <c r="G220" s="1" t="s">
        <v>1681</v>
      </c>
      <c r="H220" s="1" t="s">
        <v>2059</v>
      </c>
    </row>
    <row r="221" spans="1:9" x14ac:dyDescent="0.3">
      <c r="A221" s="3">
        <v>220</v>
      </c>
      <c r="B221" s="1" t="s">
        <v>2441</v>
      </c>
      <c r="C221" s="1" t="s">
        <v>458</v>
      </c>
      <c r="D221" s="3" t="s">
        <v>3490</v>
      </c>
      <c r="E221" s="1" t="s">
        <v>1118</v>
      </c>
      <c r="F221" s="1" t="s">
        <v>1281</v>
      </c>
      <c r="G221" s="1" t="s">
        <v>1719</v>
      </c>
      <c r="H221" s="1" t="s">
        <v>2052</v>
      </c>
      <c r="I221" s="1" t="s">
        <v>784</v>
      </c>
    </row>
    <row r="222" spans="1:9" x14ac:dyDescent="0.3">
      <c r="A222" s="3">
        <v>221</v>
      </c>
      <c r="B222" s="1" t="s">
        <v>2442</v>
      </c>
      <c r="C222" s="1" t="s">
        <v>257</v>
      </c>
      <c r="D222" s="3" t="s">
        <v>3489</v>
      </c>
      <c r="E222" s="1" t="s">
        <v>1118</v>
      </c>
      <c r="F222" s="1" t="s">
        <v>1126</v>
      </c>
      <c r="G222" s="1" t="s">
        <v>1720</v>
      </c>
      <c r="H222" s="1" t="s">
        <v>2059</v>
      </c>
      <c r="I222" s="1">
        <v>70287776</v>
      </c>
    </row>
    <row r="223" spans="1:9" x14ac:dyDescent="0.3">
      <c r="A223" s="3">
        <v>222</v>
      </c>
      <c r="B223" s="1" t="s">
        <v>2443</v>
      </c>
      <c r="C223" s="1" t="s">
        <v>258</v>
      </c>
      <c r="D223" s="3" t="s">
        <v>3489</v>
      </c>
      <c r="E223" s="1" t="s">
        <v>1118</v>
      </c>
      <c r="F223" s="1" t="s">
        <v>1282</v>
      </c>
      <c r="G223" s="1" t="s">
        <v>1665</v>
      </c>
      <c r="H223" s="1" t="s">
        <v>2088</v>
      </c>
      <c r="I223" s="1">
        <v>10695128</v>
      </c>
    </row>
    <row r="224" spans="1:9" x14ac:dyDescent="0.3">
      <c r="A224" s="3">
        <v>223</v>
      </c>
      <c r="B224" s="1" t="s">
        <v>2444</v>
      </c>
      <c r="C224" s="1" t="s">
        <v>259</v>
      </c>
      <c r="D224" s="3" t="s">
        <v>3490</v>
      </c>
      <c r="E224" s="1" t="s">
        <v>1118</v>
      </c>
      <c r="F224" s="1" t="s">
        <v>1137</v>
      </c>
      <c r="G224" s="1" t="s">
        <v>1721</v>
      </c>
      <c r="H224" s="1" t="s">
        <v>2059</v>
      </c>
      <c r="I224" s="1">
        <v>10305999</v>
      </c>
    </row>
    <row r="225" spans="1:9" x14ac:dyDescent="0.3">
      <c r="A225" s="3">
        <v>224</v>
      </c>
      <c r="B225" s="1" t="s">
        <v>2445</v>
      </c>
      <c r="C225" s="1" t="s">
        <v>260</v>
      </c>
      <c r="D225" s="3" t="s">
        <v>3490</v>
      </c>
      <c r="E225" s="1" t="s">
        <v>1118</v>
      </c>
      <c r="F225" s="1" t="s">
        <v>1126</v>
      </c>
      <c r="G225" s="1" t="s">
        <v>1722</v>
      </c>
      <c r="H225" s="1" t="s">
        <v>2054</v>
      </c>
      <c r="I225" s="1">
        <v>70221216</v>
      </c>
    </row>
    <row r="226" spans="1:9" x14ac:dyDescent="0.3">
      <c r="A226" s="3">
        <v>225</v>
      </c>
      <c r="B226" s="1" t="s">
        <v>2446</v>
      </c>
      <c r="C226" s="1" t="s">
        <v>2175</v>
      </c>
      <c r="D226" s="3" t="s">
        <v>3489</v>
      </c>
      <c r="E226" s="1" t="s">
        <v>1113</v>
      </c>
      <c r="F226" s="1" t="s">
        <v>1126</v>
      </c>
      <c r="G226" s="1" t="s">
        <v>1723</v>
      </c>
      <c r="I226" s="1" t="s">
        <v>785</v>
      </c>
    </row>
    <row r="227" spans="1:9" x14ac:dyDescent="0.3">
      <c r="A227" s="3">
        <v>226</v>
      </c>
      <c r="B227" s="1" t="s">
        <v>2447</v>
      </c>
      <c r="C227" s="1" t="s">
        <v>2176</v>
      </c>
      <c r="D227" s="3" t="s">
        <v>3490</v>
      </c>
      <c r="E227" s="1" t="s">
        <v>1118</v>
      </c>
      <c r="F227" s="1" t="s">
        <v>1283</v>
      </c>
      <c r="G227" s="1" t="s">
        <v>1724</v>
      </c>
      <c r="I227" s="1" t="s">
        <v>786</v>
      </c>
    </row>
    <row r="228" spans="1:9" x14ac:dyDescent="0.3">
      <c r="A228" s="3">
        <v>227</v>
      </c>
      <c r="B228" s="1" t="s">
        <v>2448</v>
      </c>
      <c r="C228" s="1" t="s">
        <v>261</v>
      </c>
      <c r="D228" s="3" t="s">
        <v>3490</v>
      </c>
      <c r="E228" s="1" t="s">
        <v>1118</v>
      </c>
      <c r="F228" s="1" t="s">
        <v>1284</v>
      </c>
      <c r="G228" s="1" t="s">
        <v>1725</v>
      </c>
      <c r="I228" s="1" t="s">
        <v>787</v>
      </c>
    </row>
    <row r="229" spans="1:9" x14ac:dyDescent="0.3">
      <c r="A229" s="3">
        <v>228</v>
      </c>
      <c r="B229" s="1" t="s">
        <v>2449</v>
      </c>
      <c r="C229" s="1" t="s">
        <v>2177</v>
      </c>
      <c r="D229" s="3" t="s">
        <v>3489</v>
      </c>
      <c r="E229" s="1" t="s">
        <v>1118</v>
      </c>
      <c r="F229" s="1" t="s">
        <v>1285</v>
      </c>
      <c r="G229" s="1" t="s">
        <v>1726</v>
      </c>
      <c r="I229" s="1" t="s">
        <v>788</v>
      </c>
    </row>
    <row r="230" spans="1:9" x14ac:dyDescent="0.3">
      <c r="A230" s="3">
        <v>229</v>
      </c>
      <c r="B230" s="1" t="s">
        <v>2450</v>
      </c>
      <c r="C230" s="1" t="s">
        <v>262</v>
      </c>
      <c r="D230" s="3" t="s">
        <v>3489</v>
      </c>
      <c r="E230" s="1" t="s">
        <v>1118</v>
      </c>
      <c r="F230" s="1" t="s">
        <v>1286</v>
      </c>
      <c r="G230" s="1" t="s">
        <v>1727</v>
      </c>
      <c r="I230" s="1" t="s">
        <v>789</v>
      </c>
    </row>
    <row r="231" spans="1:9" x14ac:dyDescent="0.3">
      <c r="A231" s="3">
        <v>230</v>
      </c>
      <c r="B231" s="1" t="s">
        <v>2451</v>
      </c>
      <c r="C231" s="1" t="s">
        <v>2178</v>
      </c>
      <c r="D231" s="3" t="s">
        <v>3490</v>
      </c>
      <c r="E231" s="1" t="s">
        <v>1118</v>
      </c>
      <c r="F231" s="1" t="s">
        <v>1287</v>
      </c>
      <c r="G231" s="1" t="s">
        <v>1728</v>
      </c>
      <c r="I231" s="1" t="s">
        <v>790</v>
      </c>
    </row>
    <row r="232" spans="1:9" x14ac:dyDescent="0.3">
      <c r="A232" s="3">
        <v>231</v>
      </c>
      <c r="B232" s="1" t="s">
        <v>2452</v>
      </c>
      <c r="C232" s="1" t="s">
        <v>2179</v>
      </c>
      <c r="D232" s="3" t="s">
        <v>3490</v>
      </c>
      <c r="E232" s="1" t="s">
        <v>1118</v>
      </c>
      <c r="F232" s="1" t="s">
        <v>1288</v>
      </c>
      <c r="G232" s="1" t="s">
        <v>1729</v>
      </c>
      <c r="I232" s="1" t="s">
        <v>791</v>
      </c>
    </row>
    <row r="233" spans="1:9" x14ac:dyDescent="0.3">
      <c r="A233" s="3">
        <v>232</v>
      </c>
      <c r="B233" s="1" t="s">
        <v>2453</v>
      </c>
      <c r="C233" s="1" t="s">
        <v>263</v>
      </c>
      <c r="D233" s="3" t="s">
        <v>3490</v>
      </c>
      <c r="E233" s="1" t="s">
        <v>1118</v>
      </c>
      <c r="F233" s="1" t="s">
        <v>1186</v>
      </c>
      <c r="G233" s="1" t="s">
        <v>1730</v>
      </c>
      <c r="I233" s="1" t="s">
        <v>792</v>
      </c>
    </row>
    <row r="234" spans="1:9" x14ac:dyDescent="0.3">
      <c r="A234" s="3">
        <v>233</v>
      </c>
      <c r="B234" s="1" t="s">
        <v>2454</v>
      </c>
      <c r="C234" s="1" t="s">
        <v>2180</v>
      </c>
      <c r="D234" s="3" t="s">
        <v>3490</v>
      </c>
      <c r="E234" s="1" t="s">
        <v>1118</v>
      </c>
      <c r="F234" s="1" t="s">
        <v>1289</v>
      </c>
      <c r="G234" s="1" t="s">
        <v>1731</v>
      </c>
      <c r="I234" s="1" t="s">
        <v>793</v>
      </c>
    </row>
    <row r="235" spans="1:9" x14ac:dyDescent="0.3">
      <c r="A235" s="3">
        <v>234</v>
      </c>
      <c r="B235" s="1" t="s">
        <v>2455</v>
      </c>
      <c r="C235" s="1" t="s">
        <v>264</v>
      </c>
      <c r="D235" s="3" t="s">
        <v>3490</v>
      </c>
      <c r="E235" s="1" t="s">
        <v>1113</v>
      </c>
      <c r="F235" s="1" t="s">
        <v>1126</v>
      </c>
      <c r="G235" s="1" t="s">
        <v>1732</v>
      </c>
      <c r="H235" s="1" t="s">
        <v>2088</v>
      </c>
      <c r="I235" s="1" t="s">
        <v>794</v>
      </c>
    </row>
    <row r="236" spans="1:9" x14ac:dyDescent="0.3">
      <c r="A236" s="3">
        <v>235</v>
      </c>
      <c r="B236" s="1" t="s">
        <v>2456</v>
      </c>
      <c r="C236" s="1" t="s">
        <v>265</v>
      </c>
      <c r="D236" s="3" t="s">
        <v>3490</v>
      </c>
      <c r="E236" s="1" t="s">
        <v>1114</v>
      </c>
      <c r="F236" s="1" t="s">
        <v>1208</v>
      </c>
      <c r="G236" s="1" t="s">
        <v>1733</v>
      </c>
      <c r="H236" s="1" t="s">
        <v>2070</v>
      </c>
      <c r="I236" s="1">
        <v>87606226</v>
      </c>
    </row>
    <row r="237" spans="1:9" x14ac:dyDescent="0.3">
      <c r="A237" s="3">
        <v>236</v>
      </c>
      <c r="B237" s="1" t="s">
        <v>2457</v>
      </c>
      <c r="C237" s="1" t="s">
        <v>266</v>
      </c>
      <c r="D237" s="3" t="s">
        <v>3490</v>
      </c>
      <c r="E237" s="1" t="s">
        <v>1118</v>
      </c>
      <c r="F237" s="1" t="s">
        <v>1290</v>
      </c>
      <c r="G237" s="1" t="s">
        <v>1734</v>
      </c>
      <c r="H237" s="1" t="s">
        <v>2069</v>
      </c>
      <c r="I237" s="1">
        <v>11389955</v>
      </c>
    </row>
    <row r="238" spans="1:9" x14ac:dyDescent="0.3">
      <c r="A238" s="3">
        <v>237</v>
      </c>
      <c r="B238" s="1" t="s">
        <v>2458</v>
      </c>
      <c r="C238" s="1" t="s">
        <v>267</v>
      </c>
      <c r="D238" s="3" t="s">
        <v>3490</v>
      </c>
      <c r="E238" s="1" t="s">
        <v>1113</v>
      </c>
      <c r="F238" s="1" t="s">
        <v>1291</v>
      </c>
      <c r="G238" s="1" t="s">
        <v>1735</v>
      </c>
      <c r="I238" s="1">
        <v>77222083</v>
      </c>
    </row>
    <row r="239" spans="1:9" x14ac:dyDescent="0.3">
      <c r="A239" s="3">
        <v>238</v>
      </c>
      <c r="B239" s="1" t="s">
        <v>2459</v>
      </c>
      <c r="C239" s="1" t="s">
        <v>268</v>
      </c>
      <c r="D239" s="3" t="s">
        <v>3490</v>
      </c>
      <c r="E239" s="1" t="s">
        <v>1113</v>
      </c>
      <c r="F239" s="1" t="s">
        <v>1213</v>
      </c>
      <c r="G239" s="1" t="s">
        <v>1736</v>
      </c>
      <c r="I239" s="1">
        <v>77955662</v>
      </c>
    </row>
    <row r="240" spans="1:9" x14ac:dyDescent="0.3">
      <c r="A240" s="3">
        <v>239</v>
      </c>
      <c r="B240" s="1" t="s">
        <v>2460</v>
      </c>
      <c r="C240" s="1" t="s">
        <v>269</v>
      </c>
      <c r="D240" s="3" t="s">
        <v>3490</v>
      </c>
      <c r="E240" s="1" t="s">
        <v>1113</v>
      </c>
      <c r="F240" s="1" t="s">
        <v>1200</v>
      </c>
      <c r="G240" s="1" t="s">
        <v>1702</v>
      </c>
      <c r="H240" s="1" t="s">
        <v>2088</v>
      </c>
      <c r="I240" s="1">
        <v>93225888</v>
      </c>
    </row>
    <row r="241" spans="1:9" x14ac:dyDescent="0.3">
      <c r="A241" s="3">
        <v>240</v>
      </c>
      <c r="B241" s="1" t="s">
        <v>2461</v>
      </c>
      <c r="C241" s="1" t="s">
        <v>270</v>
      </c>
      <c r="D241" s="3" t="s">
        <v>3489</v>
      </c>
      <c r="E241" s="1" t="s">
        <v>1118</v>
      </c>
      <c r="F241" s="1" t="s">
        <v>1292</v>
      </c>
      <c r="G241" s="1" t="s">
        <v>1737</v>
      </c>
      <c r="H241" s="1" t="s">
        <v>2071</v>
      </c>
      <c r="I241" s="1">
        <v>962157794</v>
      </c>
    </row>
    <row r="242" spans="1:9" x14ac:dyDescent="0.3">
      <c r="A242" s="3">
        <v>241</v>
      </c>
      <c r="B242" s="1" t="s">
        <v>2462</v>
      </c>
      <c r="C242" s="1" t="s">
        <v>271</v>
      </c>
      <c r="D242" s="3" t="s">
        <v>3489</v>
      </c>
      <c r="E242" s="1" t="s">
        <v>1118</v>
      </c>
      <c r="F242" s="1" t="s">
        <v>1293</v>
      </c>
      <c r="G242" s="1" t="s">
        <v>1738</v>
      </c>
      <c r="H242" s="1" t="s">
        <v>2072</v>
      </c>
      <c r="I242" s="1">
        <v>975215309</v>
      </c>
    </row>
    <row r="243" spans="1:9" x14ac:dyDescent="0.3">
      <c r="A243" s="3">
        <v>242</v>
      </c>
      <c r="B243" s="1" t="s">
        <v>2463</v>
      </c>
      <c r="C243" s="1" t="s">
        <v>272</v>
      </c>
      <c r="D243" s="3" t="s">
        <v>3489</v>
      </c>
      <c r="E243" s="1" t="s">
        <v>1118</v>
      </c>
      <c r="F243" s="1" t="s">
        <v>1208</v>
      </c>
      <c r="G243" s="1" t="s">
        <v>1739</v>
      </c>
      <c r="H243" s="1" t="s">
        <v>704</v>
      </c>
      <c r="I243" s="1">
        <v>16294964</v>
      </c>
    </row>
    <row r="244" spans="1:9" x14ac:dyDescent="0.3">
      <c r="A244" s="3">
        <v>243</v>
      </c>
      <c r="B244" s="1" t="s">
        <v>2464</v>
      </c>
      <c r="C244" s="1" t="s">
        <v>273</v>
      </c>
      <c r="D244" s="3" t="s">
        <v>3489</v>
      </c>
      <c r="E244" s="1" t="s">
        <v>1118</v>
      </c>
      <c r="F244" s="1" t="s">
        <v>1294</v>
      </c>
      <c r="G244" s="1" t="s">
        <v>1740</v>
      </c>
      <c r="H244" s="1" t="s">
        <v>2054</v>
      </c>
      <c r="I244" s="1">
        <v>719838878</v>
      </c>
    </row>
    <row r="245" spans="1:9" x14ac:dyDescent="0.3">
      <c r="A245" s="3">
        <v>244</v>
      </c>
      <c r="B245" s="1" t="s">
        <v>2465</v>
      </c>
      <c r="C245" s="1" t="s">
        <v>274</v>
      </c>
      <c r="D245" s="3" t="s">
        <v>3489</v>
      </c>
      <c r="E245" s="1" t="s">
        <v>1118</v>
      </c>
      <c r="F245" s="1" t="s">
        <v>1295</v>
      </c>
      <c r="G245" s="1" t="s">
        <v>1741</v>
      </c>
      <c r="H245" s="1" t="s">
        <v>2068</v>
      </c>
      <c r="I245" s="1">
        <v>81221126</v>
      </c>
    </row>
    <row r="246" spans="1:9" x14ac:dyDescent="0.3">
      <c r="A246" s="3">
        <v>245</v>
      </c>
      <c r="B246" s="1" t="s">
        <v>2466</v>
      </c>
      <c r="C246" s="1" t="s">
        <v>275</v>
      </c>
      <c r="D246" s="3" t="s">
        <v>3489</v>
      </c>
      <c r="E246" s="1" t="s">
        <v>1118</v>
      </c>
      <c r="F246" s="1" t="s">
        <v>704</v>
      </c>
      <c r="G246" s="1" t="s">
        <v>704</v>
      </c>
      <c r="H246" s="1" t="s">
        <v>704</v>
      </c>
      <c r="I246" s="1">
        <v>69753744</v>
      </c>
    </row>
    <row r="247" spans="1:9" x14ac:dyDescent="0.3">
      <c r="A247" s="3">
        <v>246</v>
      </c>
      <c r="B247" s="1" t="s">
        <v>2467</v>
      </c>
      <c r="C247" s="1" t="s">
        <v>276</v>
      </c>
      <c r="D247" s="3" t="s">
        <v>3489</v>
      </c>
      <c r="E247" s="1" t="s">
        <v>1118</v>
      </c>
      <c r="F247" s="1" t="s">
        <v>1293</v>
      </c>
      <c r="G247" s="1" t="s">
        <v>1742</v>
      </c>
      <c r="H247" s="1" t="s">
        <v>2059</v>
      </c>
      <c r="I247" s="1">
        <v>70996158</v>
      </c>
    </row>
    <row r="248" spans="1:9" x14ac:dyDescent="0.3">
      <c r="A248" s="3">
        <v>247</v>
      </c>
      <c r="B248" s="1" t="s">
        <v>2468</v>
      </c>
      <c r="C248" s="1" t="s">
        <v>277</v>
      </c>
      <c r="D248" s="3" t="s">
        <v>3489</v>
      </c>
      <c r="E248" s="1" t="s">
        <v>1118</v>
      </c>
      <c r="F248" s="1" t="s">
        <v>1296</v>
      </c>
      <c r="G248" s="1" t="s">
        <v>1721</v>
      </c>
      <c r="H248" s="1" t="s">
        <v>2059</v>
      </c>
      <c r="I248" s="1">
        <v>86436905</v>
      </c>
    </row>
    <row r="249" spans="1:9" x14ac:dyDescent="0.3">
      <c r="A249" s="3">
        <v>248</v>
      </c>
      <c r="B249" s="1" t="s">
        <v>2469</v>
      </c>
      <c r="C249" s="1" t="s">
        <v>278</v>
      </c>
      <c r="D249" s="3" t="s">
        <v>3490</v>
      </c>
      <c r="E249" s="1" t="s">
        <v>1118</v>
      </c>
      <c r="F249" s="1" t="s">
        <v>1297</v>
      </c>
      <c r="G249" s="1" t="s">
        <v>1743</v>
      </c>
      <c r="H249" s="1" t="s">
        <v>2088</v>
      </c>
      <c r="I249" s="1" t="s">
        <v>795</v>
      </c>
    </row>
    <row r="250" spans="1:9" x14ac:dyDescent="0.3">
      <c r="A250" s="3">
        <v>249</v>
      </c>
      <c r="B250" s="1" t="s">
        <v>2470</v>
      </c>
      <c r="C250" s="1" t="s">
        <v>279</v>
      </c>
      <c r="D250" s="3" t="s">
        <v>3490</v>
      </c>
      <c r="E250" s="1" t="s">
        <v>1118</v>
      </c>
      <c r="F250" s="1" t="s">
        <v>49</v>
      </c>
      <c r="G250" s="1" t="s">
        <v>1744</v>
      </c>
      <c r="H250" s="1" t="s">
        <v>2088</v>
      </c>
      <c r="I250" s="1" t="s">
        <v>796</v>
      </c>
    </row>
    <row r="251" spans="1:9" x14ac:dyDescent="0.3">
      <c r="A251" s="3">
        <v>250</v>
      </c>
      <c r="B251" s="1" t="s">
        <v>2471</v>
      </c>
      <c r="C251" s="1" t="s">
        <v>280</v>
      </c>
      <c r="D251" s="3" t="s">
        <v>3490</v>
      </c>
      <c r="E251" s="1" t="s">
        <v>1118</v>
      </c>
      <c r="F251" s="1" t="s">
        <v>1293</v>
      </c>
      <c r="G251" s="1" t="s">
        <v>1745</v>
      </c>
      <c r="H251" s="1" t="s">
        <v>2059</v>
      </c>
      <c r="I251" s="1">
        <v>86562872</v>
      </c>
    </row>
    <row r="252" spans="1:9" x14ac:dyDescent="0.3">
      <c r="A252" s="3">
        <v>251</v>
      </c>
      <c r="B252" s="1" t="s">
        <v>2472</v>
      </c>
      <c r="C252" s="1" t="s">
        <v>281</v>
      </c>
      <c r="D252" s="3" t="s">
        <v>3489</v>
      </c>
      <c r="E252" s="1" t="s">
        <v>1118</v>
      </c>
      <c r="F252" s="1" t="s">
        <v>1296</v>
      </c>
      <c r="G252" s="1" t="s">
        <v>1538</v>
      </c>
      <c r="H252" s="1" t="s">
        <v>2055</v>
      </c>
      <c r="I252" s="1">
        <v>16864461</v>
      </c>
    </row>
    <row r="253" spans="1:9" x14ac:dyDescent="0.3">
      <c r="A253" s="3">
        <v>252</v>
      </c>
      <c r="B253" s="1" t="s">
        <v>2473</v>
      </c>
      <c r="C253" s="1" t="s">
        <v>282</v>
      </c>
      <c r="D253" s="3" t="s">
        <v>3490</v>
      </c>
      <c r="E253" s="1" t="s">
        <v>1118</v>
      </c>
      <c r="F253" s="1" t="s">
        <v>1298</v>
      </c>
      <c r="G253" s="1" t="s">
        <v>1681</v>
      </c>
      <c r="H253" s="1" t="s">
        <v>2059</v>
      </c>
      <c r="I253" s="1">
        <v>86774153</v>
      </c>
    </row>
    <row r="254" spans="1:9" x14ac:dyDescent="0.3">
      <c r="A254" s="3">
        <v>253</v>
      </c>
      <c r="B254" s="1" t="s">
        <v>2474</v>
      </c>
      <c r="C254" s="1" t="s">
        <v>2181</v>
      </c>
      <c r="D254" s="3" t="s">
        <v>3490</v>
      </c>
      <c r="E254" s="1" t="s">
        <v>1115</v>
      </c>
    </row>
    <row r="255" spans="1:9" x14ac:dyDescent="0.3">
      <c r="A255" s="3">
        <v>254</v>
      </c>
      <c r="B255" s="1" t="s">
        <v>2475</v>
      </c>
      <c r="C255" s="1" t="s">
        <v>283</v>
      </c>
      <c r="D255" s="3" t="s">
        <v>3490</v>
      </c>
      <c r="E255" s="1" t="s">
        <v>1115</v>
      </c>
    </row>
    <row r="256" spans="1:9" x14ac:dyDescent="0.3">
      <c r="A256" s="3">
        <v>255</v>
      </c>
      <c r="B256" s="1" t="s">
        <v>2476</v>
      </c>
      <c r="C256" s="1" t="s">
        <v>284</v>
      </c>
      <c r="D256" s="3" t="s">
        <v>3489</v>
      </c>
      <c r="E256" s="1" t="s">
        <v>1118</v>
      </c>
      <c r="F256" s="1" t="s">
        <v>1299</v>
      </c>
      <c r="G256" s="1" t="s">
        <v>1746</v>
      </c>
      <c r="H256" s="1" t="s">
        <v>2055</v>
      </c>
      <c r="I256" s="1">
        <v>98992640</v>
      </c>
    </row>
    <row r="257" spans="1:9" x14ac:dyDescent="0.3">
      <c r="A257" s="3">
        <v>256</v>
      </c>
      <c r="B257" s="1" t="s">
        <v>2477</v>
      </c>
      <c r="C257" s="1" t="s">
        <v>285</v>
      </c>
      <c r="D257" s="3" t="s">
        <v>3490</v>
      </c>
      <c r="E257" s="1" t="s">
        <v>1118</v>
      </c>
      <c r="F257" s="1" t="s">
        <v>1300</v>
      </c>
      <c r="G257" s="1" t="s">
        <v>1747</v>
      </c>
      <c r="H257" s="1" t="s">
        <v>2059</v>
      </c>
      <c r="I257" s="1">
        <v>966980662</v>
      </c>
    </row>
    <row r="258" spans="1:9" x14ac:dyDescent="0.3">
      <c r="A258" s="3">
        <v>257</v>
      </c>
      <c r="B258" s="1" t="s">
        <v>2478</v>
      </c>
      <c r="C258" s="1" t="s">
        <v>286</v>
      </c>
      <c r="D258" s="3" t="s">
        <v>3489</v>
      </c>
      <c r="E258" s="1" t="s">
        <v>1118</v>
      </c>
      <c r="F258" s="1" t="s">
        <v>1301</v>
      </c>
      <c r="G258" s="1" t="s">
        <v>1748</v>
      </c>
      <c r="H258" s="1" t="s">
        <v>2086</v>
      </c>
      <c r="I258" s="1">
        <v>964792657</v>
      </c>
    </row>
    <row r="259" spans="1:9" x14ac:dyDescent="0.3">
      <c r="A259" s="3">
        <v>258</v>
      </c>
      <c r="B259" s="1" t="s">
        <v>2479</v>
      </c>
      <c r="C259" s="1" t="s">
        <v>287</v>
      </c>
      <c r="D259" s="3" t="s">
        <v>3489</v>
      </c>
      <c r="E259" s="1" t="s">
        <v>1118</v>
      </c>
      <c r="F259" s="1" t="s">
        <v>1293</v>
      </c>
      <c r="G259" s="1" t="s">
        <v>1749</v>
      </c>
      <c r="H259" s="1" t="s">
        <v>43</v>
      </c>
      <c r="I259" s="1">
        <v>15989603</v>
      </c>
    </row>
    <row r="260" spans="1:9" x14ac:dyDescent="0.3">
      <c r="A260" s="3">
        <v>259</v>
      </c>
      <c r="B260" s="1" t="s">
        <v>2480</v>
      </c>
      <c r="C260" s="1" t="s">
        <v>288</v>
      </c>
      <c r="D260" s="3" t="s">
        <v>3489</v>
      </c>
      <c r="E260" s="1" t="s">
        <v>1117</v>
      </c>
      <c r="F260" s="1" t="s">
        <v>1302</v>
      </c>
      <c r="G260" s="1" t="s">
        <v>1750</v>
      </c>
      <c r="H260" s="1" t="s">
        <v>2061</v>
      </c>
      <c r="I260" s="1">
        <v>16766049</v>
      </c>
    </row>
    <row r="261" spans="1:9" x14ac:dyDescent="0.3">
      <c r="A261" s="3">
        <v>260</v>
      </c>
      <c r="B261" s="1" t="s">
        <v>2481</v>
      </c>
      <c r="C261" s="1" t="s">
        <v>289</v>
      </c>
      <c r="D261" s="3" t="s">
        <v>3490</v>
      </c>
      <c r="E261" s="1" t="s">
        <v>1118</v>
      </c>
      <c r="F261" s="1" t="s">
        <v>28</v>
      </c>
      <c r="G261" s="1" t="s">
        <v>1751</v>
      </c>
      <c r="H261" s="1" t="s">
        <v>2073</v>
      </c>
      <c r="I261" s="1">
        <v>17229564</v>
      </c>
    </row>
    <row r="262" spans="1:9" x14ac:dyDescent="0.3">
      <c r="A262" s="3">
        <v>261</v>
      </c>
      <c r="B262" s="1" t="s">
        <v>2482</v>
      </c>
      <c r="C262" s="1" t="s">
        <v>290</v>
      </c>
      <c r="D262" s="3" t="s">
        <v>3490</v>
      </c>
      <c r="E262" s="1" t="s">
        <v>1114</v>
      </c>
      <c r="F262" s="1" t="s">
        <v>1303</v>
      </c>
      <c r="G262" s="1" t="s">
        <v>1752</v>
      </c>
      <c r="H262" s="1" t="s">
        <v>2074</v>
      </c>
      <c r="I262" s="1">
        <v>762095509</v>
      </c>
    </row>
    <row r="263" spans="1:9" x14ac:dyDescent="0.3">
      <c r="A263" s="3">
        <v>262</v>
      </c>
      <c r="B263" s="1" t="s">
        <v>2483</v>
      </c>
      <c r="C263" s="1" t="s">
        <v>291</v>
      </c>
      <c r="D263" s="3" t="s">
        <v>3489</v>
      </c>
      <c r="E263" s="1" t="s">
        <v>1118</v>
      </c>
      <c r="F263" s="1" t="s">
        <v>1304</v>
      </c>
      <c r="G263" s="1" t="s">
        <v>1753</v>
      </c>
      <c r="H263" s="1" t="s">
        <v>2088</v>
      </c>
      <c r="I263" s="1">
        <v>93991963</v>
      </c>
    </row>
    <row r="264" spans="1:9" x14ac:dyDescent="0.3">
      <c r="A264" s="3">
        <v>263</v>
      </c>
      <c r="B264" s="1" t="s">
        <v>2484</v>
      </c>
      <c r="C264" s="1" t="s">
        <v>292</v>
      </c>
      <c r="D264" s="3" t="s">
        <v>3489</v>
      </c>
      <c r="E264" s="1" t="s">
        <v>1118</v>
      </c>
      <c r="F264" s="1" t="s">
        <v>1305</v>
      </c>
      <c r="G264" s="1" t="s">
        <v>1754</v>
      </c>
      <c r="H264" s="1" t="s">
        <v>2071</v>
      </c>
      <c r="I264" s="1">
        <v>68234278</v>
      </c>
    </row>
    <row r="265" spans="1:9" x14ac:dyDescent="0.3">
      <c r="A265" s="3">
        <v>264</v>
      </c>
      <c r="B265" s="1" t="s">
        <v>2485</v>
      </c>
      <c r="C265" s="1" t="s">
        <v>293</v>
      </c>
      <c r="D265" s="3" t="s">
        <v>3490</v>
      </c>
      <c r="E265" s="1" t="s">
        <v>1118</v>
      </c>
      <c r="F265" s="1" t="s">
        <v>1305</v>
      </c>
      <c r="G265" s="1" t="s">
        <v>1755</v>
      </c>
      <c r="H265" s="1" t="s">
        <v>2070</v>
      </c>
      <c r="I265" s="1">
        <v>962008607</v>
      </c>
    </row>
    <row r="266" spans="1:9" x14ac:dyDescent="0.3">
      <c r="A266" s="3">
        <v>265</v>
      </c>
      <c r="B266" s="1" t="s">
        <v>2486</v>
      </c>
      <c r="C266" s="1" t="s">
        <v>294</v>
      </c>
      <c r="D266" s="3" t="s">
        <v>3489</v>
      </c>
      <c r="E266" s="1" t="s">
        <v>1118</v>
      </c>
      <c r="F266" s="1" t="s">
        <v>1208</v>
      </c>
      <c r="G266" s="1" t="s">
        <v>1756</v>
      </c>
      <c r="H266" s="1" t="s">
        <v>1811</v>
      </c>
      <c r="I266" s="1">
        <v>77395637</v>
      </c>
    </row>
    <row r="267" spans="1:9" x14ac:dyDescent="0.3">
      <c r="A267" s="3">
        <v>266</v>
      </c>
      <c r="B267" s="1" t="s">
        <v>2487</v>
      </c>
      <c r="C267" s="1" t="s">
        <v>295</v>
      </c>
      <c r="D267" s="3" t="s">
        <v>3489</v>
      </c>
      <c r="E267" s="1" t="s">
        <v>1114</v>
      </c>
      <c r="F267" s="1" t="s">
        <v>1306</v>
      </c>
      <c r="G267" s="1" t="s">
        <v>1757</v>
      </c>
      <c r="H267" s="1" t="s">
        <v>2061</v>
      </c>
      <c r="I267" s="1">
        <v>882261390</v>
      </c>
    </row>
    <row r="268" spans="1:9" x14ac:dyDescent="0.3">
      <c r="A268" s="3">
        <v>267</v>
      </c>
      <c r="B268" s="1" t="s">
        <v>2488</v>
      </c>
      <c r="C268" s="1" t="s">
        <v>296</v>
      </c>
      <c r="D268" s="3" t="s">
        <v>3490</v>
      </c>
      <c r="E268" s="1" t="s">
        <v>1118</v>
      </c>
      <c r="F268" s="1" t="s">
        <v>1307</v>
      </c>
      <c r="G268" s="1" t="s">
        <v>1758</v>
      </c>
      <c r="I268" s="1" t="s">
        <v>797</v>
      </c>
    </row>
    <row r="269" spans="1:9" x14ac:dyDescent="0.3">
      <c r="A269" s="3">
        <v>268</v>
      </c>
      <c r="B269" s="1" t="s">
        <v>2489</v>
      </c>
      <c r="C269" s="1" t="s">
        <v>297</v>
      </c>
      <c r="D269" s="3" t="s">
        <v>3489</v>
      </c>
      <c r="E269" s="1" t="s">
        <v>1113</v>
      </c>
      <c r="F269" s="1" t="s">
        <v>1308</v>
      </c>
      <c r="G269" s="1" t="s">
        <v>1759</v>
      </c>
      <c r="H269" s="1" t="s">
        <v>2088</v>
      </c>
      <c r="I269" s="1">
        <v>17333968</v>
      </c>
    </row>
    <row r="270" spans="1:9" x14ac:dyDescent="0.3">
      <c r="A270" s="3">
        <v>269</v>
      </c>
      <c r="B270" s="1" t="s">
        <v>2490</v>
      </c>
      <c r="C270" s="1" t="s">
        <v>298</v>
      </c>
      <c r="D270" s="3" t="s">
        <v>3490</v>
      </c>
      <c r="E270" s="1" t="s">
        <v>1118</v>
      </c>
      <c r="F270" s="1" t="s">
        <v>1169</v>
      </c>
      <c r="G270" s="1" t="s">
        <v>1760</v>
      </c>
      <c r="H270" s="1" t="s">
        <v>2088</v>
      </c>
      <c r="I270" s="1">
        <v>89672671</v>
      </c>
    </row>
    <row r="271" spans="1:9" x14ac:dyDescent="0.3">
      <c r="A271" s="3">
        <v>270</v>
      </c>
      <c r="B271" s="1" t="s">
        <v>2491</v>
      </c>
      <c r="C271" s="1" t="s">
        <v>299</v>
      </c>
      <c r="D271" s="3" t="s">
        <v>3489</v>
      </c>
      <c r="E271" s="1" t="s">
        <v>1118</v>
      </c>
      <c r="F271" s="1" t="s">
        <v>49</v>
      </c>
      <c r="G271" s="1" t="s">
        <v>1761</v>
      </c>
      <c r="H271" s="1" t="s">
        <v>2088</v>
      </c>
      <c r="I271" s="1">
        <v>86366336</v>
      </c>
    </row>
    <row r="272" spans="1:9" x14ac:dyDescent="0.3">
      <c r="A272" s="3">
        <v>271</v>
      </c>
      <c r="B272" s="1" t="s">
        <v>2492</v>
      </c>
      <c r="C272" s="1" t="s">
        <v>300</v>
      </c>
      <c r="D272" s="3" t="s">
        <v>3489</v>
      </c>
      <c r="E272" s="1" t="s">
        <v>1118</v>
      </c>
      <c r="F272" s="1" t="s">
        <v>1309</v>
      </c>
      <c r="G272" s="1" t="s">
        <v>1762</v>
      </c>
      <c r="I272" s="1">
        <v>99946439</v>
      </c>
    </row>
    <row r="273" spans="1:9" x14ac:dyDescent="0.3">
      <c r="A273" s="3">
        <v>272</v>
      </c>
      <c r="B273" s="1" t="s">
        <v>2493</v>
      </c>
      <c r="C273" s="1" t="s">
        <v>301</v>
      </c>
      <c r="D273" s="3" t="s">
        <v>3490</v>
      </c>
      <c r="E273" s="1" t="s">
        <v>1118</v>
      </c>
      <c r="F273" s="1" t="s">
        <v>1310</v>
      </c>
      <c r="G273" s="1" t="s">
        <v>1763</v>
      </c>
      <c r="H273" s="1" t="s">
        <v>2088</v>
      </c>
      <c r="I273" s="1">
        <v>89837728</v>
      </c>
    </row>
    <row r="274" spans="1:9" x14ac:dyDescent="0.3">
      <c r="A274" s="3">
        <v>273</v>
      </c>
      <c r="B274" s="1" t="s">
        <v>2494</v>
      </c>
      <c r="C274" s="1" t="s">
        <v>302</v>
      </c>
      <c r="D274" s="3" t="s">
        <v>3489</v>
      </c>
      <c r="E274" s="1" t="s">
        <v>1118</v>
      </c>
      <c r="F274" s="1" t="s">
        <v>1311</v>
      </c>
      <c r="G274" s="1" t="s">
        <v>1764</v>
      </c>
      <c r="H274" s="1" t="s">
        <v>2075</v>
      </c>
      <c r="I274" s="1">
        <v>87333606</v>
      </c>
    </row>
    <row r="275" spans="1:9" x14ac:dyDescent="0.3">
      <c r="A275" s="3">
        <v>274</v>
      </c>
      <c r="B275" s="1" t="s">
        <v>2495</v>
      </c>
      <c r="C275" s="1" t="s">
        <v>303</v>
      </c>
      <c r="D275" s="3" t="s">
        <v>3489</v>
      </c>
      <c r="E275" s="1" t="s">
        <v>1118</v>
      </c>
      <c r="F275" s="1" t="s">
        <v>1286</v>
      </c>
      <c r="G275" s="1" t="s">
        <v>1761</v>
      </c>
      <c r="H275" s="1" t="s">
        <v>2088</v>
      </c>
      <c r="I275" s="1">
        <v>978456661</v>
      </c>
    </row>
    <row r="276" spans="1:9" x14ac:dyDescent="0.3">
      <c r="A276" s="3">
        <v>275</v>
      </c>
      <c r="B276" s="1" t="s">
        <v>2496</v>
      </c>
      <c r="C276" s="1" t="s">
        <v>304</v>
      </c>
      <c r="D276" s="3" t="s">
        <v>3490</v>
      </c>
      <c r="E276" s="1" t="s">
        <v>1118</v>
      </c>
      <c r="F276" s="1" t="s">
        <v>1270</v>
      </c>
      <c r="G276" s="1" t="s">
        <v>1765</v>
      </c>
      <c r="H276" s="1" t="s">
        <v>2058</v>
      </c>
      <c r="I276" s="1">
        <v>70844756</v>
      </c>
    </row>
    <row r="277" spans="1:9" x14ac:dyDescent="0.3">
      <c r="A277" s="3">
        <v>276</v>
      </c>
      <c r="B277" s="1" t="s">
        <v>2497</v>
      </c>
      <c r="C277" s="1" t="s">
        <v>2182</v>
      </c>
      <c r="D277" s="3" t="s">
        <v>3489</v>
      </c>
      <c r="E277" s="1" t="s">
        <v>1118</v>
      </c>
      <c r="F277" s="1" t="s">
        <v>1312</v>
      </c>
      <c r="G277" s="1" t="s">
        <v>1766</v>
      </c>
      <c r="H277" s="1" t="s">
        <v>2088</v>
      </c>
      <c r="I277" s="1" t="s">
        <v>798</v>
      </c>
    </row>
    <row r="278" spans="1:9" x14ac:dyDescent="0.3">
      <c r="A278" s="3">
        <v>277</v>
      </c>
      <c r="B278" s="1" t="s">
        <v>2498</v>
      </c>
      <c r="C278" s="1" t="s">
        <v>305</v>
      </c>
      <c r="D278" s="3" t="s">
        <v>3489</v>
      </c>
      <c r="E278" s="1" t="s">
        <v>1118</v>
      </c>
      <c r="F278" s="1" t="s">
        <v>1313</v>
      </c>
      <c r="G278" s="1" t="s">
        <v>1767</v>
      </c>
      <c r="I278" s="1" t="s">
        <v>799</v>
      </c>
    </row>
    <row r="279" spans="1:9" x14ac:dyDescent="0.3">
      <c r="A279" s="3">
        <v>278</v>
      </c>
      <c r="B279" s="1" t="s">
        <v>2499</v>
      </c>
      <c r="C279" s="1" t="s">
        <v>306</v>
      </c>
      <c r="D279" s="3" t="s">
        <v>3490</v>
      </c>
      <c r="E279" s="1" t="s">
        <v>1118</v>
      </c>
      <c r="F279" s="1" t="s">
        <v>1314</v>
      </c>
      <c r="G279" s="1" t="s">
        <v>1768</v>
      </c>
      <c r="I279" s="1" t="s">
        <v>800</v>
      </c>
    </row>
    <row r="280" spans="1:9" x14ac:dyDescent="0.3">
      <c r="A280" s="3">
        <v>279</v>
      </c>
      <c r="B280" s="1" t="s">
        <v>2500</v>
      </c>
      <c r="C280" s="1" t="s">
        <v>307</v>
      </c>
      <c r="D280" s="3" t="s">
        <v>3490</v>
      </c>
      <c r="E280" s="1" t="s">
        <v>1118</v>
      </c>
      <c r="F280" s="1" t="s">
        <v>1315</v>
      </c>
      <c r="G280" s="1" t="s">
        <v>1591</v>
      </c>
      <c r="I280" s="1" t="s">
        <v>801</v>
      </c>
    </row>
    <row r="281" spans="1:9" x14ac:dyDescent="0.3">
      <c r="A281" s="3">
        <v>280</v>
      </c>
      <c r="B281" s="1" t="s">
        <v>2501</v>
      </c>
      <c r="C281" s="1" t="s">
        <v>308</v>
      </c>
      <c r="D281" s="3" t="s">
        <v>3490</v>
      </c>
      <c r="E281" s="1" t="s">
        <v>1118</v>
      </c>
      <c r="F281" s="1" t="s">
        <v>1316</v>
      </c>
      <c r="G281" s="1" t="s">
        <v>1769</v>
      </c>
      <c r="H281" s="1" t="s">
        <v>2088</v>
      </c>
      <c r="I281" s="1" t="s">
        <v>802</v>
      </c>
    </row>
    <row r="282" spans="1:9" x14ac:dyDescent="0.3">
      <c r="A282" s="3">
        <v>281</v>
      </c>
      <c r="B282" s="1" t="s">
        <v>2502</v>
      </c>
      <c r="C282" s="1" t="s">
        <v>309</v>
      </c>
      <c r="D282" s="3" t="s">
        <v>3490</v>
      </c>
      <c r="E282" s="1" t="s">
        <v>1113</v>
      </c>
      <c r="F282" s="1" t="s">
        <v>1317</v>
      </c>
      <c r="G282" s="1" t="s">
        <v>1770</v>
      </c>
      <c r="H282" s="1" t="s">
        <v>2052</v>
      </c>
      <c r="I282" s="1" t="s">
        <v>803</v>
      </c>
    </row>
    <row r="283" spans="1:9" x14ac:dyDescent="0.3">
      <c r="A283" s="3">
        <v>282</v>
      </c>
      <c r="B283" s="1" t="s">
        <v>2503</v>
      </c>
      <c r="C283" s="1" t="s">
        <v>2183</v>
      </c>
      <c r="D283" s="3" t="s">
        <v>3490</v>
      </c>
      <c r="E283" s="1" t="s">
        <v>1118</v>
      </c>
      <c r="F283" s="1" t="s">
        <v>1318</v>
      </c>
      <c r="G283" s="1" t="s">
        <v>1771</v>
      </c>
      <c r="H283" s="1" t="s">
        <v>2088</v>
      </c>
      <c r="I283" s="1" t="s">
        <v>804</v>
      </c>
    </row>
    <row r="284" spans="1:9" x14ac:dyDescent="0.3">
      <c r="A284" s="3">
        <v>283</v>
      </c>
      <c r="B284" s="1" t="s">
        <v>2504</v>
      </c>
      <c r="C284" s="1" t="s">
        <v>2184</v>
      </c>
      <c r="D284" s="3" t="s">
        <v>3490</v>
      </c>
      <c r="E284" s="1" t="s">
        <v>1118</v>
      </c>
      <c r="F284" s="1" t="s">
        <v>1</v>
      </c>
      <c r="G284" s="1" t="s">
        <v>1772</v>
      </c>
      <c r="I284" s="1" t="s">
        <v>805</v>
      </c>
    </row>
    <row r="285" spans="1:9" x14ac:dyDescent="0.3">
      <c r="A285" s="3">
        <v>284</v>
      </c>
      <c r="B285" s="1" t="s">
        <v>2505</v>
      </c>
      <c r="C285" s="1" t="s">
        <v>2185</v>
      </c>
      <c r="D285" s="3" t="s">
        <v>3490</v>
      </c>
      <c r="E285" s="1" t="s">
        <v>1118</v>
      </c>
      <c r="F285" s="1" t="s">
        <v>1319</v>
      </c>
      <c r="G285" s="1" t="s">
        <v>1773</v>
      </c>
      <c r="I285" s="1" t="s">
        <v>806</v>
      </c>
    </row>
    <row r="286" spans="1:9" x14ac:dyDescent="0.3">
      <c r="A286" s="3">
        <v>285</v>
      </c>
      <c r="B286" s="1" t="s">
        <v>2506</v>
      </c>
      <c r="C286" s="1" t="s">
        <v>2186</v>
      </c>
      <c r="D286" s="3" t="s">
        <v>3490</v>
      </c>
      <c r="E286" s="1" t="s">
        <v>1118</v>
      </c>
      <c r="F286" s="1" t="s">
        <v>1320</v>
      </c>
      <c r="G286" s="1" t="s">
        <v>1774</v>
      </c>
      <c r="I286" s="1" t="s">
        <v>807</v>
      </c>
    </row>
    <row r="287" spans="1:9" x14ac:dyDescent="0.3">
      <c r="A287" s="3">
        <v>286</v>
      </c>
      <c r="B287" s="1" t="s">
        <v>2507</v>
      </c>
      <c r="C287" s="1" t="s">
        <v>310</v>
      </c>
      <c r="D287" s="3" t="s">
        <v>3490</v>
      </c>
      <c r="E287" s="1" t="s">
        <v>1113</v>
      </c>
      <c r="F287" s="1" t="s">
        <v>1321</v>
      </c>
      <c r="G287" s="1" t="s">
        <v>1775</v>
      </c>
      <c r="I287" s="1" t="s">
        <v>808</v>
      </c>
    </row>
    <row r="288" spans="1:9" x14ac:dyDescent="0.3">
      <c r="A288" s="3">
        <v>287</v>
      </c>
      <c r="B288" s="1" t="s">
        <v>2508</v>
      </c>
      <c r="C288" s="1" t="s">
        <v>2187</v>
      </c>
      <c r="D288" s="3" t="s">
        <v>3490</v>
      </c>
      <c r="E288" s="1" t="s">
        <v>1114</v>
      </c>
      <c r="H288" s="1" t="s">
        <v>704</v>
      </c>
      <c r="I288" s="1" t="s">
        <v>809</v>
      </c>
    </row>
    <row r="289" spans="1:9" x14ac:dyDescent="0.3">
      <c r="A289" s="3">
        <v>288</v>
      </c>
      <c r="B289" s="1" t="s">
        <v>2509</v>
      </c>
      <c r="C289" s="1" t="s">
        <v>2188</v>
      </c>
      <c r="D289" s="3" t="s">
        <v>3490</v>
      </c>
      <c r="E289" s="1" t="s">
        <v>1118</v>
      </c>
      <c r="F289" s="1" t="s">
        <v>1149</v>
      </c>
      <c r="G289" s="1" t="s">
        <v>1776</v>
      </c>
      <c r="H289" s="1" t="s">
        <v>2076</v>
      </c>
      <c r="I289" s="1" t="s">
        <v>810</v>
      </c>
    </row>
    <row r="290" spans="1:9" x14ac:dyDescent="0.3">
      <c r="A290" s="3">
        <v>289</v>
      </c>
      <c r="B290" s="1" t="s">
        <v>2510</v>
      </c>
      <c r="C290" s="1" t="s">
        <v>311</v>
      </c>
      <c r="D290" s="3" t="s">
        <v>3490</v>
      </c>
      <c r="E290" s="1" t="s">
        <v>1114</v>
      </c>
      <c r="G290" s="1" t="s">
        <v>1777</v>
      </c>
      <c r="H290" s="1" t="s">
        <v>704</v>
      </c>
      <c r="I290" s="1" t="s">
        <v>811</v>
      </c>
    </row>
    <row r="291" spans="1:9" x14ac:dyDescent="0.3">
      <c r="A291" s="3">
        <v>290</v>
      </c>
      <c r="B291" s="1" t="s">
        <v>2511</v>
      </c>
      <c r="C291" s="1" t="s">
        <v>312</v>
      </c>
      <c r="D291" s="3" t="s">
        <v>3490</v>
      </c>
      <c r="E291" s="1" t="s">
        <v>1118</v>
      </c>
      <c r="F291" s="1" t="s">
        <v>1322</v>
      </c>
      <c r="G291" s="1" t="s">
        <v>1778</v>
      </c>
      <c r="H291" s="1" t="s">
        <v>2077</v>
      </c>
      <c r="I291" s="1">
        <v>70434384</v>
      </c>
    </row>
    <row r="292" spans="1:9" x14ac:dyDescent="0.3">
      <c r="A292" s="3">
        <v>291</v>
      </c>
      <c r="B292" s="1" t="s">
        <v>2512</v>
      </c>
      <c r="C292" s="1" t="s">
        <v>313</v>
      </c>
      <c r="D292" s="3" t="s">
        <v>3490</v>
      </c>
      <c r="E292" s="1" t="s">
        <v>1118</v>
      </c>
      <c r="F292" s="1" t="s">
        <v>1322</v>
      </c>
      <c r="G292" s="1" t="s">
        <v>1779</v>
      </c>
      <c r="H292" s="1" t="s">
        <v>2061</v>
      </c>
      <c r="I292" s="1">
        <v>78396565</v>
      </c>
    </row>
    <row r="293" spans="1:9" x14ac:dyDescent="0.3">
      <c r="A293" s="3">
        <v>292</v>
      </c>
      <c r="B293" s="1" t="s">
        <v>2513</v>
      </c>
      <c r="C293" s="1" t="s">
        <v>314</v>
      </c>
      <c r="D293" s="3" t="s">
        <v>3490</v>
      </c>
      <c r="E293" s="1" t="s">
        <v>1118</v>
      </c>
      <c r="F293" s="1" t="s">
        <v>1149</v>
      </c>
      <c r="G293" s="1" t="s">
        <v>1763</v>
      </c>
      <c r="H293" s="1" t="s">
        <v>2078</v>
      </c>
      <c r="I293" s="1" t="s">
        <v>812</v>
      </c>
    </row>
    <row r="294" spans="1:9" x14ac:dyDescent="0.3">
      <c r="A294" s="3">
        <v>293</v>
      </c>
      <c r="B294" s="1" t="s">
        <v>2514</v>
      </c>
      <c r="C294" s="1" t="s">
        <v>315</v>
      </c>
      <c r="D294" s="3" t="s">
        <v>3490</v>
      </c>
      <c r="E294" s="1" t="s">
        <v>1118</v>
      </c>
      <c r="F294" s="1" t="s">
        <v>1149</v>
      </c>
      <c r="G294" s="1" t="s">
        <v>1780</v>
      </c>
      <c r="H294" s="1" t="s">
        <v>2077</v>
      </c>
      <c r="I294" s="1">
        <v>968912355</v>
      </c>
    </row>
    <row r="295" spans="1:9" x14ac:dyDescent="0.3">
      <c r="A295" s="3">
        <v>294</v>
      </c>
      <c r="B295" s="1" t="s">
        <v>2515</v>
      </c>
      <c r="C295" s="1" t="s">
        <v>316</v>
      </c>
      <c r="D295" s="3" t="s">
        <v>3490</v>
      </c>
      <c r="E295" s="1" t="s">
        <v>1118</v>
      </c>
      <c r="F295" s="1" t="s">
        <v>1322</v>
      </c>
      <c r="G295" s="1" t="s">
        <v>1781</v>
      </c>
      <c r="H295" s="1" t="s">
        <v>2055</v>
      </c>
      <c r="I295" s="1">
        <v>98649002</v>
      </c>
    </row>
    <row r="296" spans="1:9" x14ac:dyDescent="0.3">
      <c r="A296" s="3">
        <v>295</v>
      </c>
      <c r="B296" s="1" t="s">
        <v>2516</v>
      </c>
      <c r="C296" s="1" t="s">
        <v>2189</v>
      </c>
      <c r="D296" s="3" t="s">
        <v>3490</v>
      </c>
      <c r="E296" s="1" t="s">
        <v>1118</v>
      </c>
      <c r="F296" s="1" t="s">
        <v>1</v>
      </c>
      <c r="G296" s="1" t="s">
        <v>1782</v>
      </c>
      <c r="H296" s="1" t="s">
        <v>2052</v>
      </c>
      <c r="I296" s="1">
        <v>717116503</v>
      </c>
    </row>
    <row r="297" spans="1:9" x14ac:dyDescent="0.3">
      <c r="A297" s="3">
        <v>296</v>
      </c>
      <c r="B297" s="1" t="s">
        <v>2517</v>
      </c>
      <c r="C297" s="1" t="s">
        <v>511</v>
      </c>
      <c r="D297" s="3" t="s">
        <v>3490</v>
      </c>
      <c r="E297" s="1" t="s">
        <v>1118</v>
      </c>
      <c r="F297" s="1" t="s">
        <v>1323</v>
      </c>
      <c r="G297" s="1" t="s">
        <v>1783</v>
      </c>
      <c r="I297" s="1" t="s">
        <v>813</v>
      </c>
    </row>
    <row r="298" spans="1:9" x14ac:dyDescent="0.3">
      <c r="A298" s="3">
        <v>297</v>
      </c>
      <c r="B298" s="1" t="s">
        <v>2518</v>
      </c>
      <c r="C298" s="1" t="s">
        <v>299</v>
      </c>
      <c r="D298" s="3" t="s">
        <v>3489</v>
      </c>
      <c r="E298" s="1" t="s">
        <v>1118</v>
      </c>
      <c r="F298" s="1" t="s">
        <v>1208</v>
      </c>
      <c r="G298" s="1" t="s">
        <v>1761</v>
      </c>
      <c r="H298" s="1" t="s">
        <v>2088</v>
      </c>
      <c r="I298" s="1" t="s">
        <v>814</v>
      </c>
    </row>
    <row r="299" spans="1:9" x14ac:dyDescent="0.3">
      <c r="A299" s="3">
        <v>298</v>
      </c>
      <c r="B299" s="1" t="s">
        <v>2519</v>
      </c>
      <c r="C299" s="1" t="s">
        <v>317</v>
      </c>
      <c r="E299" s="1" t="s">
        <v>1119</v>
      </c>
      <c r="F299" s="1" t="s">
        <v>1208</v>
      </c>
      <c r="G299" s="1" t="s">
        <v>1784</v>
      </c>
      <c r="H299" s="1" t="s">
        <v>2079</v>
      </c>
    </row>
    <row r="300" spans="1:9" x14ac:dyDescent="0.3">
      <c r="A300" s="3">
        <v>299</v>
      </c>
      <c r="B300" s="1" t="s">
        <v>2520</v>
      </c>
      <c r="C300" s="1" t="s">
        <v>2190</v>
      </c>
      <c r="D300" s="3" t="s">
        <v>3490</v>
      </c>
      <c r="E300" s="1" t="s">
        <v>1114</v>
      </c>
      <c r="F300" s="1" t="s">
        <v>1324</v>
      </c>
      <c r="G300" s="1" t="s">
        <v>1785</v>
      </c>
      <c r="I300" s="1" t="s">
        <v>815</v>
      </c>
    </row>
    <row r="301" spans="1:9" x14ac:dyDescent="0.3">
      <c r="A301" s="3">
        <v>300</v>
      </c>
      <c r="B301" s="1" t="s">
        <v>2521</v>
      </c>
      <c r="C301" s="1" t="s">
        <v>318</v>
      </c>
      <c r="D301" s="3" t="s">
        <v>3490</v>
      </c>
      <c r="E301" s="1" t="s">
        <v>1118</v>
      </c>
      <c r="F301" s="1" t="s">
        <v>1322</v>
      </c>
      <c r="G301" s="1" t="s">
        <v>1786</v>
      </c>
      <c r="H301" s="1" t="s">
        <v>2077</v>
      </c>
      <c r="I301" s="1">
        <v>66698703</v>
      </c>
    </row>
    <row r="302" spans="1:9" x14ac:dyDescent="0.3">
      <c r="A302" s="3">
        <v>301</v>
      </c>
      <c r="B302" s="1" t="s">
        <v>2522</v>
      </c>
      <c r="C302" s="1" t="s">
        <v>319</v>
      </c>
      <c r="D302" s="3" t="s">
        <v>3490</v>
      </c>
      <c r="E302" s="1" t="s">
        <v>1118</v>
      </c>
      <c r="F302" s="1" t="s">
        <v>1325</v>
      </c>
      <c r="G302" s="1" t="s">
        <v>1787</v>
      </c>
      <c r="I302" s="1" t="s">
        <v>816</v>
      </c>
    </row>
    <row r="303" spans="1:9" x14ac:dyDescent="0.3">
      <c r="A303" s="3">
        <v>302</v>
      </c>
      <c r="B303" s="1" t="s">
        <v>2523</v>
      </c>
      <c r="C303" s="1" t="s">
        <v>320</v>
      </c>
      <c r="D303" s="3" t="s">
        <v>3489</v>
      </c>
      <c r="E303" s="1" t="s">
        <v>1118</v>
      </c>
      <c r="F303" s="1" t="s">
        <v>1326</v>
      </c>
      <c r="G303" s="1" t="s">
        <v>1788</v>
      </c>
      <c r="H303" s="1" t="s">
        <v>2088</v>
      </c>
      <c r="I303" s="1" t="s">
        <v>817</v>
      </c>
    </row>
    <row r="304" spans="1:9" x14ac:dyDescent="0.3">
      <c r="A304" s="3">
        <v>303</v>
      </c>
      <c r="B304" s="1" t="s">
        <v>2524</v>
      </c>
      <c r="C304" s="1" t="s">
        <v>2191</v>
      </c>
      <c r="D304" s="3" t="s">
        <v>3490</v>
      </c>
      <c r="E304" s="1" t="s">
        <v>1118</v>
      </c>
      <c r="F304" s="1" t="s">
        <v>1327</v>
      </c>
      <c r="G304" s="1" t="s">
        <v>1789</v>
      </c>
      <c r="H304" s="1" t="s">
        <v>2077</v>
      </c>
      <c r="I304" s="1" t="s">
        <v>818</v>
      </c>
    </row>
    <row r="305" spans="1:9" x14ac:dyDescent="0.3">
      <c r="A305" s="3">
        <v>304</v>
      </c>
      <c r="B305" s="1" t="s">
        <v>2525</v>
      </c>
      <c r="C305" s="1" t="s">
        <v>321</v>
      </c>
      <c r="D305" s="3" t="s">
        <v>3490</v>
      </c>
      <c r="E305" s="1" t="s">
        <v>1118</v>
      </c>
      <c r="F305" s="1" t="s">
        <v>1328</v>
      </c>
      <c r="G305" s="1" t="s">
        <v>1790</v>
      </c>
      <c r="H305" s="1" t="s">
        <v>2052</v>
      </c>
      <c r="I305" s="1" t="s">
        <v>819</v>
      </c>
    </row>
    <row r="306" spans="1:9" x14ac:dyDescent="0.3">
      <c r="A306" s="3">
        <v>305</v>
      </c>
      <c r="B306" s="1" t="s">
        <v>2526</v>
      </c>
      <c r="C306" s="1" t="s">
        <v>2192</v>
      </c>
      <c r="D306" s="3" t="s">
        <v>3490</v>
      </c>
      <c r="E306" s="1" t="s">
        <v>1118</v>
      </c>
      <c r="F306" s="1" t="s">
        <v>1329</v>
      </c>
      <c r="G306" s="1" t="s">
        <v>1791</v>
      </c>
      <c r="H306" s="1" t="s">
        <v>2088</v>
      </c>
      <c r="I306" s="1" t="s">
        <v>820</v>
      </c>
    </row>
    <row r="307" spans="1:9" x14ac:dyDescent="0.3">
      <c r="A307" s="3">
        <v>306</v>
      </c>
      <c r="B307" s="1" t="s">
        <v>2527</v>
      </c>
      <c r="C307" s="1" t="s">
        <v>322</v>
      </c>
      <c r="D307" s="3" t="s">
        <v>3490</v>
      </c>
      <c r="E307" s="1" t="s">
        <v>1118</v>
      </c>
      <c r="F307" s="1" t="s">
        <v>1330</v>
      </c>
      <c r="G307" s="1" t="s">
        <v>1792</v>
      </c>
      <c r="I307" s="1" t="s">
        <v>821</v>
      </c>
    </row>
    <row r="308" spans="1:9" x14ac:dyDescent="0.3">
      <c r="A308" s="3">
        <v>307</v>
      </c>
      <c r="B308" s="1" t="s">
        <v>2528</v>
      </c>
      <c r="C308" s="1" t="s">
        <v>323</v>
      </c>
      <c r="D308" s="3" t="s">
        <v>3490</v>
      </c>
      <c r="E308" s="1" t="s">
        <v>1118</v>
      </c>
      <c r="F308" s="1" t="s">
        <v>1331</v>
      </c>
      <c r="G308" s="1" t="s">
        <v>1793</v>
      </c>
      <c r="H308" s="1" t="s">
        <v>2052</v>
      </c>
      <c r="I308" s="1" t="s">
        <v>822</v>
      </c>
    </row>
    <row r="309" spans="1:9" x14ac:dyDescent="0.3">
      <c r="A309" s="3">
        <v>308</v>
      </c>
      <c r="B309" s="1" t="s">
        <v>2529</v>
      </c>
      <c r="C309" s="1" t="s">
        <v>324</v>
      </c>
      <c r="D309" s="3" t="s">
        <v>3490</v>
      </c>
      <c r="E309" s="1" t="s">
        <v>1118</v>
      </c>
      <c r="F309" s="1" t="s">
        <v>1332</v>
      </c>
      <c r="G309" s="1" t="s">
        <v>1794</v>
      </c>
      <c r="H309" s="1" t="s">
        <v>2061</v>
      </c>
      <c r="I309" s="1" t="s">
        <v>823</v>
      </c>
    </row>
    <row r="310" spans="1:9" x14ac:dyDescent="0.3">
      <c r="A310" s="3">
        <v>309</v>
      </c>
      <c r="B310" s="1" t="s">
        <v>2530</v>
      </c>
      <c r="C310" s="1" t="s">
        <v>325</v>
      </c>
      <c r="D310" s="3" t="s">
        <v>3490</v>
      </c>
      <c r="E310" s="1" t="s">
        <v>1118</v>
      </c>
      <c r="F310" s="1" t="s">
        <v>1333</v>
      </c>
      <c r="G310" s="1" t="s">
        <v>1795</v>
      </c>
      <c r="I310" s="1" t="s">
        <v>824</v>
      </c>
    </row>
    <row r="311" spans="1:9" x14ac:dyDescent="0.3">
      <c r="A311" s="3">
        <v>310</v>
      </c>
      <c r="B311" s="1" t="s">
        <v>2531</v>
      </c>
      <c r="C311" s="1" t="s">
        <v>326</v>
      </c>
      <c r="D311" s="3" t="s">
        <v>3490</v>
      </c>
      <c r="E311" s="1" t="s">
        <v>1118</v>
      </c>
      <c r="F311" s="1" t="s">
        <v>1334</v>
      </c>
      <c r="G311" s="1" t="s">
        <v>1796</v>
      </c>
      <c r="I311" s="1" t="s">
        <v>825</v>
      </c>
    </row>
    <row r="312" spans="1:9" x14ac:dyDescent="0.3">
      <c r="A312" s="3">
        <v>311</v>
      </c>
      <c r="B312" s="1" t="s">
        <v>2532</v>
      </c>
      <c r="C312" s="1" t="s">
        <v>327</v>
      </c>
      <c r="D312" s="3" t="s">
        <v>3489</v>
      </c>
      <c r="E312" s="1" t="s">
        <v>1118</v>
      </c>
      <c r="F312" s="1" t="s">
        <v>1335</v>
      </c>
      <c r="G312" s="1" t="s">
        <v>1358</v>
      </c>
      <c r="I312" s="1" t="s">
        <v>826</v>
      </c>
    </row>
    <row r="313" spans="1:9" x14ac:dyDescent="0.3">
      <c r="A313" s="3">
        <v>312</v>
      </c>
      <c r="B313" s="1" t="s">
        <v>2533</v>
      </c>
      <c r="C313" s="1" t="s">
        <v>328</v>
      </c>
      <c r="D313" s="3" t="s">
        <v>3489</v>
      </c>
      <c r="E313" s="1" t="s">
        <v>1118</v>
      </c>
      <c r="F313" s="1" t="s">
        <v>1336</v>
      </c>
      <c r="G313" s="1" t="s">
        <v>1304</v>
      </c>
      <c r="I313" s="1" t="s">
        <v>827</v>
      </c>
    </row>
    <row r="314" spans="1:9" x14ac:dyDescent="0.3">
      <c r="A314" s="3">
        <v>313</v>
      </c>
      <c r="B314" s="1" t="s">
        <v>2534</v>
      </c>
      <c r="C314" s="1" t="s">
        <v>329</v>
      </c>
      <c r="D314" s="3" t="s">
        <v>3489</v>
      </c>
      <c r="E314" s="1" t="s">
        <v>1118</v>
      </c>
      <c r="F314" s="1" t="s">
        <v>1337</v>
      </c>
      <c r="G314" s="1" t="s">
        <v>1797</v>
      </c>
      <c r="I314" s="1" t="s">
        <v>828</v>
      </c>
    </row>
    <row r="315" spans="1:9" x14ac:dyDescent="0.3">
      <c r="A315" s="3">
        <v>314</v>
      </c>
      <c r="B315" s="1" t="s">
        <v>2535</v>
      </c>
      <c r="C315" s="1" t="s">
        <v>330</v>
      </c>
      <c r="D315" s="3" t="s">
        <v>3490</v>
      </c>
      <c r="E315" s="1" t="s">
        <v>1118</v>
      </c>
      <c r="F315" s="1" t="s">
        <v>59</v>
      </c>
      <c r="G315" s="1" t="s">
        <v>1798</v>
      </c>
      <c r="H315" s="1" t="s">
        <v>2088</v>
      </c>
      <c r="I315" s="1" t="s">
        <v>829</v>
      </c>
    </row>
    <row r="316" spans="1:9" x14ac:dyDescent="0.3">
      <c r="A316" s="3">
        <v>315</v>
      </c>
      <c r="B316" s="1" t="s">
        <v>2536</v>
      </c>
      <c r="C316" s="1" t="s">
        <v>331</v>
      </c>
      <c r="D316" s="3" t="s">
        <v>3490</v>
      </c>
      <c r="E316" s="1" t="s">
        <v>1118</v>
      </c>
      <c r="F316" s="1" t="s">
        <v>1338</v>
      </c>
      <c r="G316" s="1" t="s">
        <v>1799</v>
      </c>
      <c r="H316" s="1" t="s">
        <v>2088</v>
      </c>
      <c r="I316" s="1" t="s">
        <v>830</v>
      </c>
    </row>
    <row r="317" spans="1:9" x14ac:dyDescent="0.3">
      <c r="A317" s="3">
        <v>316</v>
      </c>
      <c r="B317" s="1" t="s">
        <v>2537</v>
      </c>
      <c r="C317" s="1" t="s">
        <v>332</v>
      </c>
      <c r="D317" s="3" t="s">
        <v>3490</v>
      </c>
      <c r="E317" s="1" t="s">
        <v>1118</v>
      </c>
      <c r="F317" s="1" t="s">
        <v>1339</v>
      </c>
      <c r="G317" s="1" t="s">
        <v>1800</v>
      </c>
      <c r="H317" s="1" t="s">
        <v>2052</v>
      </c>
      <c r="I317" s="1" t="s">
        <v>831</v>
      </c>
    </row>
    <row r="318" spans="1:9" x14ac:dyDescent="0.3">
      <c r="A318" s="3">
        <v>317</v>
      </c>
      <c r="B318" s="1" t="s">
        <v>2538</v>
      </c>
      <c r="C318" s="1" t="s">
        <v>333</v>
      </c>
      <c r="D318" s="3" t="s">
        <v>3490</v>
      </c>
      <c r="E318" s="1" t="s">
        <v>1118</v>
      </c>
      <c r="F318" s="1" t="s">
        <v>1340</v>
      </c>
      <c r="G318" s="1" t="s">
        <v>1801</v>
      </c>
      <c r="I318" s="1" t="s">
        <v>832</v>
      </c>
    </row>
    <row r="319" spans="1:9" x14ac:dyDescent="0.3">
      <c r="A319" s="3">
        <v>318</v>
      </c>
      <c r="B319" s="1" t="s">
        <v>2539</v>
      </c>
      <c r="C319" s="1" t="s">
        <v>334</v>
      </c>
      <c r="D319" s="3" t="s">
        <v>3490</v>
      </c>
      <c r="E319" s="1" t="s">
        <v>1118</v>
      </c>
      <c r="F319" s="1" t="s">
        <v>1341</v>
      </c>
      <c r="G319" s="1" t="s">
        <v>1802</v>
      </c>
      <c r="I319" s="1" t="s">
        <v>833</v>
      </c>
    </row>
    <row r="320" spans="1:9" x14ac:dyDescent="0.3">
      <c r="A320" s="3">
        <v>319</v>
      </c>
      <c r="B320" s="1" t="s">
        <v>2540</v>
      </c>
      <c r="C320" s="1" t="s">
        <v>2193</v>
      </c>
      <c r="D320" s="3" t="s">
        <v>3489</v>
      </c>
      <c r="E320" s="1" t="s">
        <v>1118</v>
      </c>
      <c r="F320" s="1" t="s">
        <v>1342</v>
      </c>
      <c r="G320" s="1" t="s">
        <v>1803</v>
      </c>
      <c r="I320" s="1" t="s">
        <v>834</v>
      </c>
    </row>
    <row r="321" spans="1:9" x14ac:dyDescent="0.3">
      <c r="A321" s="3">
        <v>320</v>
      </c>
      <c r="B321" s="1" t="s">
        <v>2541</v>
      </c>
      <c r="C321" s="1" t="s">
        <v>238</v>
      </c>
      <c r="D321" s="3" t="s">
        <v>3490</v>
      </c>
      <c r="E321" s="1" t="s">
        <v>1118</v>
      </c>
      <c r="F321" s="1" t="s">
        <v>1343</v>
      </c>
      <c r="G321" s="1" t="s">
        <v>1804</v>
      </c>
      <c r="H321" s="1" t="s">
        <v>2066</v>
      </c>
      <c r="I321" s="1" t="s">
        <v>738</v>
      </c>
    </row>
    <row r="322" spans="1:9" x14ac:dyDescent="0.3">
      <c r="A322" s="3">
        <v>321</v>
      </c>
      <c r="B322" s="1" t="s">
        <v>2542</v>
      </c>
      <c r="C322" s="1" t="s">
        <v>335</v>
      </c>
      <c r="D322" s="3" t="s">
        <v>3490</v>
      </c>
      <c r="E322" s="1" t="s">
        <v>1118</v>
      </c>
      <c r="F322" s="1" t="s">
        <v>1344</v>
      </c>
      <c r="G322" s="1" t="s">
        <v>1805</v>
      </c>
      <c r="H322" s="1" t="s">
        <v>2086</v>
      </c>
      <c r="I322" s="1" t="s">
        <v>835</v>
      </c>
    </row>
    <row r="323" spans="1:9" x14ac:dyDescent="0.3">
      <c r="A323" s="3">
        <v>322</v>
      </c>
      <c r="B323" s="1" t="s">
        <v>2543</v>
      </c>
      <c r="C323" s="1" t="s">
        <v>2194</v>
      </c>
      <c r="D323" s="3" t="s">
        <v>3490</v>
      </c>
      <c r="E323" s="1" t="s">
        <v>1118</v>
      </c>
      <c r="F323" s="1" t="s">
        <v>1345</v>
      </c>
      <c r="G323" s="1" t="s">
        <v>1806</v>
      </c>
      <c r="I323" s="1" t="s">
        <v>836</v>
      </c>
    </row>
    <row r="324" spans="1:9" x14ac:dyDescent="0.3">
      <c r="A324" s="3">
        <v>323</v>
      </c>
      <c r="B324" s="1" t="s">
        <v>2544</v>
      </c>
      <c r="C324" s="1" t="s">
        <v>2195</v>
      </c>
      <c r="D324" s="3" t="s">
        <v>3490</v>
      </c>
      <c r="E324" s="1" t="s">
        <v>1114</v>
      </c>
      <c r="F324" s="1" t="s">
        <v>1346</v>
      </c>
      <c r="I324" s="1" t="s">
        <v>837</v>
      </c>
    </row>
    <row r="325" spans="1:9" x14ac:dyDescent="0.3">
      <c r="A325" s="3">
        <v>324</v>
      </c>
      <c r="B325" s="1" t="s">
        <v>2545</v>
      </c>
      <c r="C325" s="1" t="s">
        <v>336</v>
      </c>
      <c r="D325" s="3" t="s">
        <v>3489</v>
      </c>
      <c r="E325" s="1" t="s">
        <v>1118</v>
      </c>
      <c r="F325" s="1" t="s">
        <v>1347</v>
      </c>
      <c r="G325" s="1" t="s">
        <v>1358</v>
      </c>
      <c r="I325" s="1" t="s">
        <v>838</v>
      </c>
    </row>
    <row r="326" spans="1:9" x14ac:dyDescent="0.3">
      <c r="A326" s="3">
        <v>325</v>
      </c>
      <c r="B326" s="1" t="s">
        <v>2546</v>
      </c>
      <c r="C326" s="1" t="s">
        <v>337</v>
      </c>
      <c r="D326" s="3" t="s">
        <v>3490</v>
      </c>
      <c r="E326" s="1" t="s">
        <v>1118</v>
      </c>
      <c r="F326" s="1" t="s">
        <v>1348</v>
      </c>
      <c r="G326" s="1" t="s">
        <v>1807</v>
      </c>
      <c r="H326" s="1" t="s">
        <v>2063</v>
      </c>
      <c r="I326" s="1" t="s">
        <v>839</v>
      </c>
    </row>
    <row r="327" spans="1:9" x14ac:dyDescent="0.3">
      <c r="A327" s="3">
        <v>326</v>
      </c>
      <c r="B327" s="1" t="s">
        <v>2547</v>
      </c>
      <c r="C327" s="1" t="s">
        <v>338</v>
      </c>
      <c r="D327" s="3" t="s">
        <v>3490</v>
      </c>
      <c r="E327" s="1" t="s">
        <v>1118</v>
      </c>
      <c r="F327" s="1" t="s">
        <v>42</v>
      </c>
      <c r="G327" s="1" t="s">
        <v>1808</v>
      </c>
      <c r="I327" s="1" t="s">
        <v>840</v>
      </c>
    </row>
    <row r="328" spans="1:9" x14ac:dyDescent="0.3">
      <c r="A328" s="3">
        <v>327</v>
      </c>
      <c r="B328" s="1" t="s">
        <v>2548</v>
      </c>
      <c r="C328" s="1" t="s">
        <v>339</v>
      </c>
      <c r="D328" s="3" t="s">
        <v>3490</v>
      </c>
      <c r="E328" s="1" t="s">
        <v>1114</v>
      </c>
      <c r="G328" s="1" t="s">
        <v>1809</v>
      </c>
      <c r="I328" s="1" t="s">
        <v>841</v>
      </c>
    </row>
    <row r="329" spans="1:9" x14ac:dyDescent="0.3">
      <c r="A329" s="3">
        <v>328</v>
      </c>
      <c r="B329" s="1" t="s">
        <v>2549</v>
      </c>
      <c r="C329" s="1" t="s">
        <v>340</v>
      </c>
      <c r="D329" s="3" t="s">
        <v>3489</v>
      </c>
      <c r="E329" s="1" t="s">
        <v>1118</v>
      </c>
      <c r="F329" s="1" t="s">
        <v>1304</v>
      </c>
      <c r="G329" s="1" t="s">
        <v>1810</v>
      </c>
      <c r="H329" s="1" t="s">
        <v>2052</v>
      </c>
      <c r="I329" s="1" t="s">
        <v>842</v>
      </c>
    </row>
    <row r="330" spans="1:9" x14ac:dyDescent="0.3">
      <c r="A330" s="3">
        <v>329</v>
      </c>
      <c r="B330" s="1" t="s">
        <v>2550</v>
      </c>
      <c r="C330" s="1" t="s">
        <v>341</v>
      </c>
      <c r="D330" s="3" t="s">
        <v>3490</v>
      </c>
      <c r="E330" s="1" t="s">
        <v>1116</v>
      </c>
      <c r="F330" s="1" t="s">
        <v>55</v>
      </c>
      <c r="G330" s="1" t="s">
        <v>1811</v>
      </c>
      <c r="H330" s="1" t="s">
        <v>704</v>
      </c>
      <c r="I330" s="1" t="s">
        <v>843</v>
      </c>
    </row>
    <row r="331" spans="1:9" x14ac:dyDescent="0.3">
      <c r="A331" s="3">
        <v>330</v>
      </c>
      <c r="B331" s="1" t="s">
        <v>2551</v>
      </c>
      <c r="C331" s="1" t="s">
        <v>2196</v>
      </c>
      <c r="D331" s="3" t="s">
        <v>3490</v>
      </c>
      <c r="E331" s="1" t="s">
        <v>1118</v>
      </c>
      <c r="F331" s="1" t="s">
        <v>1349</v>
      </c>
      <c r="G331" s="1" t="s">
        <v>1812</v>
      </c>
      <c r="H331" s="1" t="s">
        <v>2052</v>
      </c>
      <c r="I331" s="1" t="s">
        <v>844</v>
      </c>
    </row>
    <row r="332" spans="1:9" x14ac:dyDescent="0.3">
      <c r="A332" s="3">
        <v>331</v>
      </c>
      <c r="B332" s="1" t="s">
        <v>2552</v>
      </c>
      <c r="C332" s="1" t="s">
        <v>342</v>
      </c>
      <c r="D332" s="3" t="s">
        <v>3490</v>
      </c>
      <c r="E332" s="1" t="s">
        <v>1118</v>
      </c>
      <c r="F332" s="1" t="s">
        <v>1350</v>
      </c>
      <c r="I332" s="1" t="s">
        <v>845</v>
      </c>
    </row>
    <row r="333" spans="1:9" x14ac:dyDescent="0.3">
      <c r="A333" s="3">
        <v>332</v>
      </c>
      <c r="B333" s="1" t="s">
        <v>2553</v>
      </c>
      <c r="C333" s="1" t="s">
        <v>343</v>
      </c>
      <c r="D333" s="3" t="s">
        <v>3490</v>
      </c>
      <c r="E333" s="1" t="s">
        <v>1114</v>
      </c>
      <c r="F333" s="1" t="s">
        <v>1351</v>
      </c>
      <c r="H333" s="1" t="s">
        <v>704</v>
      </c>
      <c r="I333" s="1" t="s">
        <v>846</v>
      </c>
    </row>
    <row r="334" spans="1:9" x14ac:dyDescent="0.3">
      <c r="A334" s="3">
        <v>333</v>
      </c>
      <c r="B334" s="1" t="s">
        <v>2554</v>
      </c>
      <c r="C334" s="1" t="s">
        <v>2197</v>
      </c>
      <c r="D334" s="3" t="s">
        <v>3490</v>
      </c>
      <c r="E334" s="1" t="s">
        <v>1118</v>
      </c>
      <c r="G334" s="1" t="s">
        <v>1813</v>
      </c>
      <c r="I334" s="1" t="s">
        <v>847</v>
      </c>
    </row>
    <row r="335" spans="1:9" x14ac:dyDescent="0.3">
      <c r="A335" s="3">
        <v>334</v>
      </c>
      <c r="B335" s="1" t="s">
        <v>2555</v>
      </c>
      <c r="C335" s="1" t="s">
        <v>344</v>
      </c>
      <c r="D335" s="3" t="s">
        <v>3489</v>
      </c>
      <c r="E335" s="1" t="s">
        <v>1118</v>
      </c>
      <c r="F335" s="1" t="s">
        <v>1352</v>
      </c>
      <c r="I335" s="1" t="s">
        <v>848</v>
      </c>
    </row>
    <row r="336" spans="1:9" x14ac:dyDescent="0.3">
      <c r="A336" s="3">
        <v>335</v>
      </c>
      <c r="B336" s="1" t="s">
        <v>2556</v>
      </c>
      <c r="C336" s="1" t="s">
        <v>2198</v>
      </c>
      <c r="D336" s="3" t="s">
        <v>3490</v>
      </c>
      <c r="E336" s="1" t="s">
        <v>1118</v>
      </c>
      <c r="F336" s="1" t="s">
        <v>9</v>
      </c>
      <c r="G336" s="1" t="s">
        <v>1814</v>
      </c>
      <c r="I336" s="1" t="s">
        <v>849</v>
      </c>
    </row>
    <row r="337" spans="1:9" x14ac:dyDescent="0.3">
      <c r="A337" s="3">
        <v>336</v>
      </c>
      <c r="B337" s="1" t="s">
        <v>2557</v>
      </c>
      <c r="C337" s="1" t="s">
        <v>2199</v>
      </c>
      <c r="D337" s="3" t="s">
        <v>3490</v>
      </c>
      <c r="E337" s="1" t="s">
        <v>1118</v>
      </c>
      <c r="F337" s="1" t="s">
        <v>1353</v>
      </c>
      <c r="G337" s="1" t="s">
        <v>1815</v>
      </c>
      <c r="I337" s="1" t="s">
        <v>850</v>
      </c>
    </row>
    <row r="338" spans="1:9" x14ac:dyDescent="0.3">
      <c r="A338" s="3">
        <v>337</v>
      </c>
      <c r="B338" s="1" t="s">
        <v>2558</v>
      </c>
      <c r="C338" s="1" t="s">
        <v>2200</v>
      </c>
      <c r="D338" s="3" t="s">
        <v>3490</v>
      </c>
      <c r="E338" s="1" t="s">
        <v>1118</v>
      </c>
      <c r="F338" s="1" t="s">
        <v>1329</v>
      </c>
      <c r="G338" s="1" t="s">
        <v>1816</v>
      </c>
      <c r="I338" s="1" t="s">
        <v>851</v>
      </c>
    </row>
    <row r="339" spans="1:9" x14ac:dyDescent="0.3">
      <c r="A339" s="3">
        <v>338</v>
      </c>
      <c r="B339" s="1" t="s">
        <v>2559</v>
      </c>
      <c r="C339" s="1" t="s">
        <v>345</v>
      </c>
      <c r="D339" s="3" t="s">
        <v>3490</v>
      </c>
      <c r="E339" s="1" t="s">
        <v>1118</v>
      </c>
      <c r="F339" s="1" t="s">
        <v>1354</v>
      </c>
      <c r="G339" s="1" t="s">
        <v>1817</v>
      </c>
      <c r="I339" s="1" t="s">
        <v>852</v>
      </c>
    </row>
    <row r="340" spans="1:9" x14ac:dyDescent="0.3">
      <c r="A340" s="3">
        <v>339</v>
      </c>
      <c r="B340" s="1" t="s">
        <v>2560</v>
      </c>
      <c r="C340" s="1" t="s">
        <v>2201</v>
      </c>
      <c r="D340" s="3" t="s">
        <v>3490</v>
      </c>
      <c r="E340" s="1" t="s">
        <v>1118</v>
      </c>
      <c r="F340" s="1" t="s">
        <v>1355</v>
      </c>
      <c r="G340" s="1" t="s">
        <v>1818</v>
      </c>
      <c r="I340" s="1" t="s">
        <v>853</v>
      </c>
    </row>
    <row r="341" spans="1:9" x14ac:dyDescent="0.3">
      <c r="A341" s="3">
        <v>340</v>
      </c>
      <c r="B341" s="1" t="s">
        <v>2561</v>
      </c>
      <c r="C341" s="1" t="s">
        <v>346</v>
      </c>
      <c r="D341" s="3" t="s">
        <v>3490</v>
      </c>
      <c r="E341" s="1" t="s">
        <v>1118</v>
      </c>
      <c r="F341" s="1" t="s">
        <v>1202</v>
      </c>
      <c r="G341" s="1" t="s">
        <v>1819</v>
      </c>
      <c r="I341" s="1" t="s">
        <v>854</v>
      </c>
    </row>
    <row r="342" spans="1:9" x14ac:dyDescent="0.3">
      <c r="A342" s="3">
        <v>341</v>
      </c>
      <c r="B342" s="1" t="s">
        <v>2562</v>
      </c>
      <c r="C342" s="1" t="s">
        <v>347</v>
      </c>
      <c r="D342" s="3" t="s">
        <v>3490</v>
      </c>
      <c r="E342" s="1" t="s">
        <v>1118</v>
      </c>
      <c r="F342" s="1" t="s">
        <v>1356</v>
      </c>
      <c r="G342" s="1" t="s">
        <v>1820</v>
      </c>
      <c r="H342" s="1" t="s">
        <v>2088</v>
      </c>
      <c r="I342" s="1" t="s">
        <v>855</v>
      </c>
    </row>
    <row r="343" spans="1:9" x14ac:dyDescent="0.3">
      <c r="A343" s="3">
        <v>342</v>
      </c>
      <c r="B343" s="1" t="s">
        <v>2563</v>
      </c>
      <c r="C343" s="1" t="s">
        <v>348</v>
      </c>
      <c r="D343" s="3" t="s">
        <v>3489</v>
      </c>
      <c r="E343" s="1" t="s">
        <v>1118</v>
      </c>
      <c r="F343" s="1" t="s">
        <v>1357</v>
      </c>
      <c r="G343" s="1" t="s">
        <v>1821</v>
      </c>
      <c r="I343" s="1" t="s">
        <v>856</v>
      </c>
    </row>
    <row r="344" spans="1:9" x14ac:dyDescent="0.3">
      <c r="A344" s="3">
        <v>343</v>
      </c>
      <c r="B344" s="1" t="s">
        <v>2564</v>
      </c>
      <c r="C344" s="1" t="s">
        <v>349</v>
      </c>
      <c r="D344" s="3" t="s">
        <v>3490</v>
      </c>
      <c r="E344" s="1" t="s">
        <v>1118</v>
      </c>
      <c r="F344" s="1" t="s">
        <v>1358</v>
      </c>
      <c r="G344" s="1" t="s">
        <v>1822</v>
      </c>
      <c r="I344" s="1" t="s">
        <v>857</v>
      </c>
    </row>
    <row r="345" spans="1:9" x14ac:dyDescent="0.3">
      <c r="A345" s="3">
        <v>344</v>
      </c>
      <c r="B345" s="1" t="s">
        <v>2565</v>
      </c>
      <c r="C345" s="1" t="s">
        <v>350</v>
      </c>
      <c r="D345" s="3" t="s">
        <v>3489</v>
      </c>
      <c r="E345" s="1" t="s">
        <v>1113</v>
      </c>
      <c r="F345" s="1" t="s">
        <v>1305</v>
      </c>
      <c r="G345" s="1" t="s">
        <v>1823</v>
      </c>
      <c r="I345" s="1" t="s">
        <v>858</v>
      </c>
    </row>
    <row r="346" spans="1:9" x14ac:dyDescent="0.3">
      <c r="A346" s="3">
        <v>345</v>
      </c>
      <c r="B346" s="1" t="s">
        <v>2566</v>
      </c>
      <c r="C346" s="1" t="s">
        <v>351</v>
      </c>
      <c r="D346" s="3" t="s">
        <v>3490</v>
      </c>
      <c r="E346" s="1" t="s">
        <v>1118</v>
      </c>
      <c r="F346" s="1" t="s">
        <v>1359</v>
      </c>
      <c r="G346" s="1" t="s">
        <v>1824</v>
      </c>
      <c r="H346" s="1" t="s">
        <v>2052</v>
      </c>
      <c r="I346" s="1" t="s">
        <v>859</v>
      </c>
    </row>
    <row r="347" spans="1:9" x14ac:dyDescent="0.3">
      <c r="A347" s="3">
        <v>346</v>
      </c>
      <c r="B347" s="1" t="s">
        <v>2567</v>
      </c>
      <c r="C347" s="1" t="s">
        <v>352</v>
      </c>
      <c r="D347" s="3" t="s">
        <v>3490</v>
      </c>
      <c r="E347" s="1" t="s">
        <v>1118</v>
      </c>
      <c r="F347" s="1" t="s">
        <v>1360</v>
      </c>
      <c r="I347" s="1" t="s">
        <v>629</v>
      </c>
    </row>
    <row r="348" spans="1:9" x14ac:dyDescent="0.3">
      <c r="A348" s="3">
        <v>347</v>
      </c>
      <c r="B348" s="1" t="s">
        <v>2568</v>
      </c>
      <c r="C348" s="1" t="s">
        <v>353</v>
      </c>
      <c r="D348" s="3" t="s">
        <v>3490</v>
      </c>
      <c r="E348" s="1" t="s">
        <v>1118</v>
      </c>
      <c r="F348" s="1" t="s">
        <v>1228</v>
      </c>
      <c r="G348" s="1" t="s">
        <v>1825</v>
      </c>
      <c r="I348" s="1" t="s">
        <v>860</v>
      </c>
    </row>
    <row r="349" spans="1:9" x14ac:dyDescent="0.3">
      <c r="A349" s="3">
        <v>348</v>
      </c>
      <c r="B349" s="1" t="s">
        <v>2569</v>
      </c>
      <c r="C349" s="1" t="s">
        <v>354</v>
      </c>
      <c r="D349" s="3" t="s">
        <v>3489</v>
      </c>
      <c r="E349" s="1" t="s">
        <v>1118</v>
      </c>
      <c r="F349" s="1" t="s">
        <v>1361</v>
      </c>
      <c r="G349" s="1" t="s">
        <v>1826</v>
      </c>
      <c r="H349" s="1" t="s">
        <v>2052</v>
      </c>
      <c r="I349" s="1" t="s">
        <v>861</v>
      </c>
    </row>
    <row r="350" spans="1:9" x14ac:dyDescent="0.3">
      <c r="A350" s="3">
        <v>349</v>
      </c>
      <c r="B350" s="1" t="s">
        <v>2570</v>
      </c>
      <c r="C350" s="1" t="s">
        <v>355</v>
      </c>
      <c r="D350" s="3" t="s">
        <v>3490</v>
      </c>
      <c r="E350" s="1" t="s">
        <v>1118</v>
      </c>
      <c r="F350" s="1" t="s">
        <v>1362</v>
      </c>
      <c r="G350" s="1" t="s">
        <v>1827</v>
      </c>
      <c r="H350" s="1" t="s">
        <v>2063</v>
      </c>
      <c r="I350" s="1" t="s">
        <v>862</v>
      </c>
    </row>
    <row r="351" spans="1:9" x14ac:dyDescent="0.3">
      <c r="A351" s="3">
        <v>350</v>
      </c>
      <c r="B351" s="1" t="s">
        <v>2571</v>
      </c>
      <c r="C351" s="1" t="s">
        <v>356</v>
      </c>
      <c r="D351" s="3" t="s">
        <v>3490</v>
      </c>
      <c r="E351" s="1" t="s">
        <v>1118</v>
      </c>
      <c r="F351" s="1" t="s">
        <v>1362</v>
      </c>
      <c r="G351" s="1" t="s">
        <v>1828</v>
      </c>
      <c r="I351" s="1" t="s">
        <v>863</v>
      </c>
    </row>
    <row r="352" spans="1:9" x14ac:dyDescent="0.3">
      <c r="A352" s="3">
        <v>351</v>
      </c>
      <c r="B352" s="1" t="s">
        <v>2572</v>
      </c>
      <c r="C352" s="1" t="s">
        <v>2202</v>
      </c>
      <c r="D352" s="3" t="s">
        <v>3490</v>
      </c>
      <c r="E352" s="1" t="s">
        <v>1113</v>
      </c>
      <c r="F352" s="1" t="s">
        <v>1363</v>
      </c>
      <c r="G352" s="1" t="s">
        <v>1829</v>
      </c>
      <c r="H352" s="1" t="s">
        <v>2052</v>
      </c>
      <c r="I352" s="1" t="s">
        <v>864</v>
      </c>
    </row>
    <row r="353" spans="1:9" x14ac:dyDescent="0.3">
      <c r="A353" s="3">
        <v>352</v>
      </c>
      <c r="B353" s="1" t="s">
        <v>2573</v>
      </c>
      <c r="C353" s="1" t="s">
        <v>357</v>
      </c>
      <c r="D353" s="3" t="s">
        <v>3490</v>
      </c>
      <c r="E353" s="1" t="s">
        <v>1118</v>
      </c>
      <c r="F353" s="1" t="s">
        <v>1364</v>
      </c>
      <c r="G353" s="1" t="s">
        <v>1830</v>
      </c>
      <c r="H353" s="1" t="s">
        <v>2059</v>
      </c>
      <c r="I353" s="1" t="s">
        <v>865</v>
      </c>
    </row>
    <row r="354" spans="1:9" x14ac:dyDescent="0.3">
      <c r="A354" s="3">
        <v>353</v>
      </c>
      <c r="B354" s="1" t="s">
        <v>2574</v>
      </c>
      <c r="C354" s="1" t="s">
        <v>358</v>
      </c>
      <c r="D354" s="3" t="s">
        <v>3490</v>
      </c>
      <c r="E354" s="1" t="s">
        <v>1118</v>
      </c>
      <c r="F354" s="1" t="s">
        <v>1365</v>
      </c>
      <c r="G354" s="1" t="s">
        <v>1831</v>
      </c>
      <c r="I354" s="1" t="s">
        <v>866</v>
      </c>
    </row>
    <row r="355" spans="1:9" x14ac:dyDescent="0.3">
      <c r="A355" s="3">
        <v>354</v>
      </c>
      <c r="B355" s="1" t="s">
        <v>2575</v>
      </c>
      <c r="C355" s="1" t="s">
        <v>2203</v>
      </c>
      <c r="D355" s="3" t="s">
        <v>3490</v>
      </c>
      <c r="E355" s="1" t="s">
        <v>1118</v>
      </c>
      <c r="F355" s="1" t="s">
        <v>1366</v>
      </c>
      <c r="G355" s="1" t="s">
        <v>1832</v>
      </c>
      <c r="I355" s="1" t="s">
        <v>867</v>
      </c>
    </row>
    <row r="356" spans="1:9" x14ac:dyDescent="0.3">
      <c r="A356" s="3">
        <v>355</v>
      </c>
      <c r="B356" s="1" t="s">
        <v>2576</v>
      </c>
      <c r="C356" s="1" t="s">
        <v>359</v>
      </c>
      <c r="D356" s="3" t="s">
        <v>3490</v>
      </c>
      <c r="E356" s="1" t="s">
        <v>1113</v>
      </c>
      <c r="F356" s="1" t="s">
        <v>1367</v>
      </c>
      <c r="G356" s="1" t="s">
        <v>1833</v>
      </c>
      <c r="H356" s="1" t="s">
        <v>2080</v>
      </c>
      <c r="I356" s="1" t="s">
        <v>868</v>
      </c>
    </row>
    <row r="357" spans="1:9" x14ac:dyDescent="0.3">
      <c r="A357" s="3">
        <v>356</v>
      </c>
      <c r="B357" s="1" t="s">
        <v>2577</v>
      </c>
      <c r="C357" s="1" t="s">
        <v>360</v>
      </c>
      <c r="D357" s="3" t="s">
        <v>3490</v>
      </c>
      <c r="E357" s="1" t="s">
        <v>1118</v>
      </c>
      <c r="F357" s="1" t="s">
        <v>1368</v>
      </c>
      <c r="G357" s="1" t="s">
        <v>1834</v>
      </c>
      <c r="H357" s="1" t="s">
        <v>2052</v>
      </c>
      <c r="I357" s="1" t="s">
        <v>869</v>
      </c>
    </row>
    <row r="358" spans="1:9" x14ac:dyDescent="0.3">
      <c r="A358" s="3">
        <v>357</v>
      </c>
      <c r="B358" s="1" t="s">
        <v>2578</v>
      </c>
      <c r="C358" s="1" t="s">
        <v>361</v>
      </c>
      <c r="D358" s="3" t="s">
        <v>3490</v>
      </c>
      <c r="E358" s="1" t="s">
        <v>1118</v>
      </c>
      <c r="F358" s="1" t="s">
        <v>1143</v>
      </c>
      <c r="G358" s="1" t="s">
        <v>1835</v>
      </c>
      <c r="I358" s="1" t="s">
        <v>870</v>
      </c>
    </row>
    <row r="359" spans="1:9" x14ac:dyDescent="0.3">
      <c r="A359" s="3">
        <v>358</v>
      </c>
      <c r="B359" s="1" t="s">
        <v>2579</v>
      </c>
      <c r="C359" s="1" t="s">
        <v>362</v>
      </c>
      <c r="D359" s="3" t="s">
        <v>3490</v>
      </c>
      <c r="E359" s="1" t="s">
        <v>1114</v>
      </c>
      <c r="F359" s="1" t="s">
        <v>55</v>
      </c>
      <c r="I359" s="1" t="s">
        <v>871</v>
      </c>
    </row>
    <row r="360" spans="1:9" x14ac:dyDescent="0.3">
      <c r="A360" s="3">
        <v>359</v>
      </c>
      <c r="B360" s="1" t="s">
        <v>2580</v>
      </c>
      <c r="C360" s="1" t="s">
        <v>363</v>
      </c>
      <c r="D360" s="3" t="s">
        <v>3490</v>
      </c>
      <c r="E360" s="1" t="s">
        <v>1114</v>
      </c>
      <c r="F360" s="1" t="s">
        <v>55</v>
      </c>
      <c r="I360" s="1" t="s">
        <v>872</v>
      </c>
    </row>
    <row r="361" spans="1:9" x14ac:dyDescent="0.3">
      <c r="A361" s="3">
        <v>360</v>
      </c>
      <c r="B361" s="1" t="s">
        <v>2581</v>
      </c>
      <c r="C361" s="1" t="s">
        <v>2204</v>
      </c>
      <c r="D361" s="3" t="s">
        <v>3490</v>
      </c>
      <c r="E361" s="1" t="s">
        <v>1116</v>
      </c>
      <c r="F361" s="1" t="s">
        <v>1369</v>
      </c>
      <c r="I361" s="1" t="s">
        <v>873</v>
      </c>
    </row>
    <row r="362" spans="1:9" x14ac:dyDescent="0.3">
      <c r="A362" s="3">
        <v>361</v>
      </c>
      <c r="B362" s="1" t="s">
        <v>2582</v>
      </c>
      <c r="C362" s="1" t="s">
        <v>364</v>
      </c>
      <c r="D362" s="3" t="s">
        <v>3490</v>
      </c>
      <c r="E362" s="1" t="s">
        <v>1114</v>
      </c>
      <c r="F362" s="1" t="s">
        <v>1369</v>
      </c>
      <c r="G362" s="1" t="s">
        <v>1836</v>
      </c>
      <c r="I362" s="1" t="s">
        <v>874</v>
      </c>
    </row>
    <row r="363" spans="1:9" x14ac:dyDescent="0.3">
      <c r="A363" s="3">
        <v>362</v>
      </c>
      <c r="B363" s="1" t="s">
        <v>2583</v>
      </c>
      <c r="C363" s="1" t="s">
        <v>365</v>
      </c>
      <c r="D363" s="3" t="s">
        <v>3490</v>
      </c>
      <c r="E363" s="1" t="s">
        <v>1118</v>
      </c>
      <c r="F363" s="1" t="s">
        <v>1370</v>
      </c>
      <c r="G363" s="1" t="s">
        <v>1837</v>
      </c>
      <c r="H363" s="1" t="s">
        <v>2054</v>
      </c>
      <c r="I363" s="1" t="s">
        <v>875</v>
      </c>
    </row>
    <row r="364" spans="1:9" x14ac:dyDescent="0.3">
      <c r="A364" s="3">
        <v>363</v>
      </c>
      <c r="B364" s="1" t="s">
        <v>2584</v>
      </c>
      <c r="C364" s="1" t="s">
        <v>366</v>
      </c>
      <c r="D364" s="3" t="s">
        <v>3490</v>
      </c>
      <c r="E364" s="1" t="s">
        <v>1118</v>
      </c>
      <c r="F364" s="1" t="s">
        <v>1371</v>
      </c>
      <c r="G364" s="1" t="s">
        <v>1838</v>
      </c>
      <c r="I364" s="1" t="s">
        <v>876</v>
      </c>
    </row>
    <row r="365" spans="1:9" x14ac:dyDescent="0.3">
      <c r="A365" s="3">
        <v>364</v>
      </c>
      <c r="B365" s="1" t="s">
        <v>2585</v>
      </c>
      <c r="C365" s="1" t="s">
        <v>2205</v>
      </c>
      <c r="D365" s="3" t="s">
        <v>3490</v>
      </c>
      <c r="E365" s="1" t="s">
        <v>1116</v>
      </c>
      <c r="F365" s="1" t="s">
        <v>1369</v>
      </c>
      <c r="I365" s="1" t="s">
        <v>877</v>
      </c>
    </row>
    <row r="366" spans="1:9" x14ac:dyDescent="0.3">
      <c r="A366" s="3">
        <v>365</v>
      </c>
      <c r="B366" s="1" t="s">
        <v>2586</v>
      </c>
      <c r="C366" s="1" t="s">
        <v>367</v>
      </c>
      <c r="D366" s="3" t="s">
        <v>3489</v>
      </c>
      <c r="E366" s="1" t="s">
        <v>1118</v>
      </c>
      <c r="F366" s="1" t="s">
        <v>1358</v>
      </c>
      <c r="G366" s="1" t="s">
        <v>1839</v>
      </c>
      <c r="I366" s="1" t="s">
        <v>878</v>
      </c>
    </row>
    <row r="367" spans="1:9" x14ac:dyDescent="0.3">
      <c r="A367" s="3">
        <v>366</v>
      </c>
      <c r="B367" s="1" t="s">
        <v>2587</v>
      </c>
      <c r="C367" s="1" t="s">
        <v>368</v>
      </c>
      <c r="D367" s="3" t="s">
        <v>3490</v>
      </c>
      <c r="E367" s="1" t="s">
        <v>1118</v>
      </c>
      <c r="F367" s="1" t="s">
        <v>1362</v>
      </c>
      <c r="G367" s="1" t="s">
        <v>1840</v>
      </c>
      <c r="I367" s="1" t="s">
        <v>879</v>
      </c>
    </row>
    <row r="368" spans="1:9" x14ac:dyDescent="0.3">
      <c r="A368" s="3">
        <v>367</v>
      </c>
      <c r="B368" s="1" t="s">
        <v>2588</v>
      </c>
      <c r="C368" s="1" t="s">
        <v>369</v>
      </c>
      <c r="D368" s="3" t="s">
        <v>3489</v>
      </c>
      <c r="E368" s="1" t="s">
        <v>1118</v>
      </c>
      <c r="F368" s="1" t="s">
        <v>1372</v>
      </c>
      <c r="G368" s="1" t="s">
        <v>1841</v>
      </c>
      <c r="I368" s="1" t="s">
        <v>880</v>
      </c>
    </row>
    <row r="369" spans="1:9" x14ac:dyDescent="0.3">
      <c r="A369" s="3">
        <v>368</v>
      </c>
      <c r="B369" s="1" t="s">
        <v>2589</v>
      </c>
      <c r="C369" s="1" t="s">
        <v>2206</v>
      </c>
      <c r="D369" s="3" t="s">
        <v>3490</v>
      </c>
      <c r="E369" s="1" t="s">
        <v>1118</v>
      </c>
      <c r="F369" s="1" t="s">
        <v>1373</v>
      </c>
      <c r="G369" s="1" t="s">
        <v>1842</v>
      </c>
      <c r="I369" s="1" t="s">
        <v>881</v>
      </c>
    </row>
    <row r="370" spans="1:9" x14ac:dyDescent="0.3">
      <c r="A370" s="3">
        <v>369</v>
      </c>
      <c r="B370" s="1" t="s">
        <v>2590</v>
      </c>
      <c r="C370" s="1" t="s">
        <v>2130</v>
      </c>
      <c r="D370" s="3" t="s">
        <v>3490</v>
      </c>
      <c r="E370" s="1" t="s">
        <v>1113</v>
      </c>
      <c r="F370" s="1" t="s">
        <v>42</v>
      </c>
      <c r="G370" s="1" t="s">
        <v>1843</v>
      </c>
      <c r="H370" s="1" t="s">
        <v>2052</v>
      </c>
      <c r="I370" s="1" t="s">
        <v>882</v>
      </c>
    </row>
    <row r="371" spans="1:9" x14ac:dyDescent="0.3">
      <c r="A371" s="3">
        <v>370</v>
      </c>
      <c r="B371" s="1" t="s">
        <v>2591</v>
      </c>
      <c r="C371" s="1" t="s">
        <v>370</v>
      </c>
      <c r="D371" s="3" t="s">
        <v>3490</v>
      </c>
      <c r="E371" s="1" t="s">
        <v>1118</v>
      </c>
      <c r="F371" s="1" t="s">
        <v>1374</v>
      </c>
      <c r="G371" s="1" t="s">
        <v>1844</v>
      </c>
      <c r="I371" s="1" t="s">
        <v>883</v>
      </c>
    </row>
    <row r="372" spans="1:9" x14ac:dyDescent="0.3">
      <c r="A372" s="3">
        <v>371</v>
      </c>
      <c r="B372" s="1" t="s">
        <v>2592</v>
      </c>
      <c r="C372" s="1" t="s">
        <v>2207</v>
      </c>
      <c r="D372" s="3" t="s">
        <v>3489</v>
      </c>
      <c r="E372" s="1" t="s">
        <v>1118</v>
      </c>
      <c r="F372" s="1" t="s">
        <v>1305</v>
      </c>
      <c r="G372" s="1" t="s">
        <v>1845</v>
      </c>
      <c r="I372" s="1" t="s">
        <v>884</v>
      </c>
    </row>
    <row r="373" spans="1:9" x14ac:dyDescent="0.3">
      <c r="A373" s="3">
        <v>372</v>
      </c>
      <c r="B373" s="1" t="s">
        <v>2593</v>
      </c>
      <c r="C373" s="1" t="s">
        <v>371</v>
      </c>
      <c r="D373" s="3" t="s">
        <v>3489</v>
      </c>
      <c r="E373" s="1" t="s">
        <v>1118</v>
      </c>
      <c r="F373" s="1" t="s">
        <v>1358</v>
      </c>
      <c r="G373" s="1" t="s">
        <v>1846</v>
      </c>
      <c r="I373" s="1" t="s">
        <v>885</v>
      </c>
    </row>
    <row r="374" spans="1:9" x14ac:dyDescent="0.3">
      <c r="A374" s="3">
        <v>373</v>
      </c>
      <c r="B374" s="1" t="s">
        <v>2594</v>
      </c>
      <c r="C374" s="1" t="s">
        <v>372</v>
      </c>
      <c r="D374" s="3" t="s">
        <v>3490</v>
      </c>
      <c r="E374" s="1" t="s">
        <v>1113</v>
      </c>
      <c r="F374" s="1" t="s">
        <v>1375</v>
      </c>
      <c r="G374" s="1" t="s">
        <v>1847</v>
      </c>
      <c r="H374" s="1" t="s">
        <v>2080</v>
      </c>
      <c r="I374" s="1" t="s">
        <v>886</v>
      </c>
    </row>
    <row r="375" spans="1:9" x14ac:dyDescent="0.3">
      <c r="A375" s="3">
        <v>374</v>
      </c>
      <c r="B375" s="1" t="s">
        <v>2595</v>
      </c>
      <c r="C375" s="1" t="s">
        <v>373</v>
      </c>
      <c r="D375" s="3" t="s">
        <v>3490</v>
      </c>
      <c r="E375" s="1" t="s">
        <v>1118</v>
      </c>
      <c r="F375" s="1" t="s">
        <v>1259</v>
      </c>
      <c r="G375" s="1" t="s">
        <v>1590</v>
      </c>
      <c r="H375" s="1" t="s">
        <v>2075</v>
      </c>
      <c r="I375" s="1" t="s">
        <v>887</v>
      </c>
    </row>
    <row r="376" spans="1:9" x14ac:dyDescent="0.3">
      <c r="A376" s="3">
        <v>375</v>
      </c>
      <c r="B376" s="1" t="s">
        <v>2596</v>
      </c>
      <c r="C376" s="1" t="s">
        <v>374</v>
      </c>
      <c r="D376" s="3" t="s">
        <v>3490</v>
      </c>
      <c r="E376" s="1" t="s">
        <v>1113</v>
      </c>
      <c r="F376" s="1" t="s">
        <v>1376</v>
      </c>
      <c r="G376" s="1" t="s">
        <v>1848</v>
      </c>
      <c r="I376" s="1" t="s">
        <v>888</v>
      </c>
    </row>
    <row r="377" spans="1:9" x14ac:dyDescent="0.3">
      <c r="A377" s="3">
        <v>376</v>
      </c>
      <c r="B377" s="1" t="s">
        <v>2597</v>
      </c>
      <c r="C377" s="1" t="s">
        <v>375</v>
      </c>
      <c r="D377" s="3" t="s">
        <v>3490</v>
      </c>
      <c r="E377" s="1" t="s">
        <v>1116</v>
      </c>
      <c r="F377" s="1" t="s">
        <v>55</v>
      </c>
      <c r="I377" s="1" t="s">
        <v>889</v>
      </c>
    </row>
    <row r="378" spans="1:9" x14ac:dyDescent="0.3">
      <c r="A378" s="3">
        <v>377</v>
      </c>
      <c r="B378" s="1" t="s">
        <v>2598</v>
      </c>
      <c r="C378" s="1" t="s">
        <v>2208</v>
      </c>
      <c r="D378" s="3" t="s">
        <v>3490</v>
      </c>
      <c r="E378" s="1" t="s">
        <v>1116</v>
      </c>
      <c r="F378" s="1" t="s">
        <v>55</v>
      </c>
      <c r="I378" s="1" t="s">
        <v>890</v>
      </c>
    </row>
    <row r="379" spans="1:9" x14ac:dyDescent="0.3">
      <c r="A379" s="3">
        <v>378</v>
      </c>
      <c r="B379" s="1" t="s">
        <v>2599</v>
      </c>
      <c r="C379" s="1" t="s">
        <v>2209</v>
      </c>
      <c r="D379" s="3" t="s">
        <v>3490</v>
      </c>
      <c r="E379" s="1" t="s">
        <v>1116</v>
      </c>
      <c r="F379" s="1" t="s">
        <v>55</v>
      </c>
      <c r="I379" s="1" t="s">
        <v>891</v>
      </c>
    </row>
    <row r="380" spans="1:9" x14ac:dyDescent="0.3">
      <c r="A380" s="3">
        <v>379</v>
      </c>
      <c r="B380" s="1" t="s">
        <v>2600</v>
      </c>
      <c r="C380" s="1" t="s">
        <v>376</v>
      </c>
      <c r="D380" s="3" t="s">
        <v>3490</v>
      </c>
      <c r="E380" s="1" t="s">
        <v>1116</v>
      </c>
      <c r="F380" s="1" t="s">
        <v>1369</v>
      </c>
      <c r="G380" s="1" t="s">
        <v>1849</v>
      </c>
      <c r="I380" s="1" t="s">
        <v>892</v>
      </c>
    </row>
    <row r="381" spans="1:9" x14ac:dyDescent="0.3">
      <c r="A381" s="3">
        <v>380</v>
      </c>
      <c r="B381" s="1" t="s">
        <v>2601</v>
      </c>
      <c r="C381" s="1" t="s">
        <v>2210</v>
      </c>
      <c r="D381" s="3" t="s">
        <v>3490</v>
      </c>
      <c r="E381" s="1" t="s">
        <v>1116</v>
      </c>
      <c r="F381" s="1" t="s">
        <v>55</v>
      </c>
      <c r="G381" s="1" t="s">
        <v>1850</v>
      </c>
      <c r="H381" s="1" t="s">
        <v>2052</v>
      </c>
      <c r="I381" s="1" t="s">
        <v>893</v>
      </c>
    </row>
    <row r="382" spans="1:9" x14ac:dyDescent="0.3">
      <c r="A382" s="3">
        <v>381</v>
      </c>
      <c r="B382" s="1" t="s">
        <v>2602</v>
      </c>
      <c r="C382" s="1" t="s">
        <v>377</v>
      </c>
      <c r="D382" s="3" t="s">
        <v>3489</v>
      </c>
      <c r="E382" s="1" t="s">
        <v>1118</v>
      </c>
      <c r="F382" s="1" t="s">
        <v>1377</v>
      </c>
      <c r="G382" s="1" t="s">
        <v>1851</v>
      </c>
      <c r="I382" s="1" t="s">
        <v>894</v>
      </c>
    </row>
    <row r="383" spans="1:9" x14ac:dyDescent="0.3">
      <c r="A383" s="3">
        <v>382</v>
      </c>
      <c r="B383" s="1" t="s">
        <v>2603</v>
      </c>
      <c r="C383" s="1" t="s">
        <v>2211</v>
      </c>
      <c r="D383" s="3" t="s">
        <v>3490</v>
      </c>
      <c r="E383" s="1" t="s">
        <v>1114</v>
      </c>
      <c r="F383" s="1" t="s">
        <v>55</v>
      </c>
      <c r="I383" s="1" t="s">
        <v>895</v>
      </c>
    </row>
    <row r="384" spans="1:9" x14ac:dyDescent="0.3">
      <c r="A384" s="3">
        <v>383</v>
      </c>
      <c r="B384" s="1" t="s">
        <v>2604</v>
      </c>
      <c r="C384" s="1" t="s">
        <v>378</v>
      </c>
      <c r="D384" s="3" t="s">
        <v>3489</v>
      </c>
      <c r="E384" s="1" t="s">
        <v>1118</v>
      </c>
      <c r="F384" s="1" t="s">
        <v>1378</v>
      </c>
      <c r="G384" s="1" t="s">
        <v>1852</v>
      </c>
      <c r="I384" s="1" t="s">
        <v>896</v>
      </c>
    </row>
    <row r="385" spans="1:9" x14ac:dyDescent="0.3">
      <c r="A385" s="3">
        <v>384</v>
      </c>
      <c r="B385" s="1" t="s">
        <v>2605</v>
      </c>
      <c r="C385" s="1" t="s">
        <v>2212</v>
      </c>
      <c r="D385" s="3" t="s">
        <v>3490</v>
      </c>
      <c r="E385" s="1" t="s">
        <v>1114</v>
      </c>
      <c r="F385" s="1" t="s">
        <v>55</v>
      </c>
      <c r="I385" s="1" t="s">
        <v>897</v>
      </c>
    </row>
    <row r="386" spans="1:9" x14ac:dyDescent="0.3">
      <c r="A386" s="3">
        <v>385</v>
      </c>
      <c r="B386" s="1" t="s">
        <v>2606</v>
      </c>
      <c r="C386" s="1" t="s">
        <v>379</v>
      </c>
      <c r="D386" s="3" t="s">
        <v>3489</v>
      </c>
      <c r="E386" s="1" t="s">
        <v>1118</v>
      </c>
      <c r="F386" s="1" t="s">
        <v>1304</v>
      </c>
      <c r="G386" s="1" t="s">
        <v>1798</v>
      </c>
      <c r="H386" s="1" t="s">
        <v>2088</v>
      </c>
      <c r="I386" s="1" t="s">
        <v>898</v>
      </c>
    </row>
    <row r="387" spans="1:9" x14ac:dyDescent="0.3">
      <c r="A387" s="3">
        <v>386</v>
      </c>
      <c r="B387" s="1" t="s">
        <v>2607</v>
      </c>
      <c r="C387" s="1" t="s">
        <v>380</v>
      </c>
      <c r="D387" s="3" t="s">
        <v>3489</v>
      </c>
      <c r="E387" s="1" t="s">
        <v>1118</v>
      </c>
      <c r="F387" s="1" t="s">
        <v>1379</v>
      </c>
      <c r="G387" s="1" t="s">
        <v>1853</v>
      </c>
      <c r="H387" s="1" t="s">
        <v>2088</v>
      </c>
      <c r="I387" s="1" t="s">
        <v>899</v>
      </c>
    </row>
    <row r="388" spans="1:9" x14ac:dyDescent="0.3">
      <c r="A388" s="3">
        <v>387</v>
      </c>
      <c r="B388" s="1" t="s">
        <v>2608</v>
      </c>
      <c r="C388" s="1" t="s">
        <v>381</v>
      </c>
      <c r="D388" s="3" t="s">
        <v>3490</v>
      </c>
      <c r="E388" s="1" t="s">
        <v>1115</v>
      </c>
      <c r="I388" s="1" t="s">
        <v>900</v>
      </c>
    </row>
    <row r="389" spans="1:9" x14ac:dyDescent="0.3">
      <c r="A389" s="3">
        <v>388</v>
      </c>
      <c r="B389" s="1" t="s">
        <v>2609</v>
      </c>
      <c r="C389" s="1" t="s">
        <v>382</v>
      </c>
      <c r="D389" s="3" t="s">
        <v>3490</v>
      </c>
      <c r="E389" s="1" t="s">
        <v>1118</v>
      </c>
      <c r="F389" s="1" t="s">
        <v>1380</v>
      </c>
      <c r="G389" s="1" t="s">
        <v>1854</v>
      </c>
      <c r="H389" s="1" t="s">
        <v>2088</v>
      </c>
      <c r="I389" s="1" t="s">
        <v>901</v>
      </c>
    </row>
    <row r="390" spans="1:9" x14ac:dyDescent="0.3">
      <c r="A390" s="3">
        <v>389</v>
      </c>
      <c r="B390" s="1" t="s">
        <v>2610</v>
      </c>
      <c r="C390" s="1" t="s">
        <v>383</v>
      </c>
      <c r="D390" s="3" t="s">
        <v>3490</v>
      </c>
      <c r="E390" s="1" t="s">
        <v>1115</v>
      </c>
      <c r="F390" s="1" t="s">
        <v>1381</v>
      </c>
      <c r="G390" s="1" t="s">
        <v>1855</v>
      </c>
      <c r="H390" s="1" t="s">
        <v>2088</v>
      </c>
      <c r="I390" s="1" t="s">
        <v>902</v>
      </c>
    </row>
    <row r="391" spans="1:9" x14ac:dyDescent="0.3">
      <c r="A391" s="3">
        <v>390</v>
      </c>
      <c r="B391" s="1" t="s">
        <v>2611</v>
      </c>
      <c r="C391" s="1" t="s">
        <v>384</v>
      </c>
      <c r="D391" s="3" t="s">
        <v>3489</v>
      </c>
      <c r="E391" s="1" t="s">
        <v>1118</v>
      </c>
      <c r="F391" s="1" t="s">
        <v>1358</v>
      </c>
      <c r="G391" s="1" t="s">
        <v>1856</v>
      </c>
      <c r="H391" s="1" t="s">
        <v>2062</v>
      </c>
      <c r="I391" s="1" t="s">
        <v>903</v>
      </c>
    </row>
    <row r="392" spans="1:9" x14ac:dyDescent="0.3">
      <c r="A392" s="3">
        <v>391</v>
      </c>
      <c r="B392" s="1" t="s">
        <v>2612</v>
      </c>
      <c r="C392" s="1" t="s">
        <v>385</v>
      </c>
      <c r="D392" s="3" t="s">
        <v>3489</v>
      </c>
      <c r="E392" s="1" t="s">
        <v>1118</v>
      </c>
      <c r="F392" s="1" t="s">
        <v>1382</v>
      </c>
      <c r="G392" s="1" t="s">
        <v>1798</v>
      </c>
      <c r="H392" s="1" t="s">
        <v>2088</v>
      </c>
      <c r="I392" s="1" t="s">
        <v>904</v>
      </c>
    </row>
    <row r="393" spans="1:9" x14ac:dyDescent="0.3">
      <c r="A393" s="3">
        <v>392</v>
      </c>
      <c r="B393" s="1" t="s">
        <v>2613</v>
      </c>
      <c r="C393" s="1" t="s">
        <v>386</v>
      </c>
      <c r="D393" s="3" t="s">
        <v>3490</v>
      </c>
      <c r="E393" s="1" t="s">
        <v>1118</v>
      </c>
      <c r="F393" s="1" t="s">
        <v>1383</v>
      </c>
      <c r="G393" s="1" t="s">
        <v>1857</v>
      </c>
      <c r="H393" s="1" t="s">
        <v>2088</v>
      </c>
      <c r="I393" s="1" t="s">
        <v>905</v>
      </c>
    </row>
    <row r="394" spans="1:9" x14ac:dyDescent="0.3">
      <c r="A394" s="3">
        <v>393</v>
      </c>
      <c r="B394" s="1" t="s">
        <v>2614</v>
      </c>
      <c r="C394" s="1" t="s">
        <v>387</v>
      </c>
      <c r="D394" s="3" t="s">
        <v>3489</v>
      </c>
      <c r="E394" s="1" t="s">
        <v>1118</v>
      </c>
      <c r="F394" s="1" t="s">
        <v>1384</v>
      </c>
      <c r="G394" s="1" t="s">
        <v>1798</v>
      </c>
      <c r="H394" s="1" t="s">
        <v>2088</v>
      </c>
      <c r="I394" s="1" t="s">
        <v>906</v>
      </c>
    </row>
    <row r="395" spans="1:9" x14ac:dyDescent="0.3">
      <c r="A395" s="3">
        <v>394</v>
      </c>
      <c r="B395" s="1" t="s">
        <v>2615</v>
      </c>
      <c r="C395" s="1" t="s">
        <v>388</v>
      </c>
      <c r="E395" s="1" t="s">
        <v>1115</v>
      </c>
      <c r="F395" s="1" t="s">
        <v>1351</v>
      </c>
      <c r="G395" s="1" t="s">
        <v>704</v>
      </c>
      <c r="H395" s="1" t="s">
        <v>704</v>
      </c>
    </row>
    <row r="396" spans="1:9" x14ac:dyDescent="0.3">
      <c r="A396" s="3">
        <v>395</v>
      </c>
      <c r="B396" s="1" t="s">
        <v>2616</v>
      </c>
      <c r="C396" s="1" t="s">
        <v>389</v>
      </c>
      <c r="D396" s="3" t="s">
        <v>3490</v>
      </c>
      <c r="E396" s="1" t="s">
        <v>1118</v>
      </c>
      <c r="F396" s="1" t="s">
        <v>1385</v>
      </c>
      <c r="G396" s="1" t="s">
        <v>1858</v>
      </c>
      <c r="H396" s="1" t="s">
        <v>2061</v>
      </c>
      <c r="I396" s="1" t="s">
        <v>907</v>
      </c>
    </row>
    <row r="397" spans="1:9" x14ac:dyDescent="0.3">
      <c r="A397" s="3">
        <v>396</v>
      </c>
      <c r="B397" s="1" t="s">
        <v>2617</v>
      </c>
      <c r="C397" s="1" t="s">
        <v>2213</v>
      </c>
      <c r="D397" s="3" t="s">
        <v>3490</v>
      </c>
      <c r="E397" s="1" t="s">
        <v>1118</v>
      </c>
      <c r="F397" s="1" t="s">
        <v>1386</v>
      </c>
      <c r="G397" s="1" t="s">
        <v>1859</v>
      </c>
      <c r="H397" s="1" t="s">
        <v>2088</v>
      </c>
      <c r="I397" s="1" t="s">
        <v>908</v>
      </c>
    </row>
    <row r="398" spans="1:9" x14ac:dyDescent="0.3">
      <c r="A398" s="3">
        <v>397</v>
      </c>
      <c r="B398" s="1" t="s">
        <v>2618</v>
      </c>
      <c r="C398" s="1" t="s">
        <v>390</v>
      </c>
      <c r="D398" s="3" t="s">
        <v>3490</v>
      </c>
      <c r="E398" s="1" t="s">
        <v>1113</v>
      </c>
      <c r="F398" s="1" t="s">
        <v>1387</v>
      </c>
      <c r="G398" s="1" t="s">
        <v>1819</v>
      </c>
      <c r="H398" s="1" t="s">
        <v>2088</v>
      </c>
      <c r="I398" s="1" t="s">
        <v>909</v>
      </c>
    </row>
    <row r="399" spans="1:9" x14ac:dyDescent="0.3">
      <c r="A399" s="3">
        <v>398</v>
      </c>
      <c r="B399" s="1" t="s">
        <v>2619</v>
      </c>
      <c r="C399" s="1" t="s">
        <v>2214</v>
      </c>
      <c r="D399" s="3" t="s">
        <v>3490</v>
      </c>
      <c r="E399" s="1" t="s">
        <v>1118</v>
      </c>
      <c r="F399" s="1" t="s">
        <v>1388</v>
      </c>
      <c r="G399" s="1" t="s">
        <v>1860</v>
      </c>
      <c r="H399" s="1" t="s">
        <v>2056</v>
      </c>
      <c r="I399" s="1" t="s">
        <v>910</v>
      </c>
    </row>
    <row r="400" spans="1:9" x14ac:dyDescent="0.3">
      <c r="A400" s="3">
        <v>399</v>
      </c>
      <c r="B400" s="1" t="s">
        <v>2620</v>
      </c>
      <c r="C400" s="1" t="s">
        <v>391</v>
      </c>
      <c r="D400" s="3" t="s">
        <v>3490</v>
      </c>
      <c r="E400" s="1" t="s">
        <v>1116</v>
      </c>
      <c r="F400" s="1" t="s">
        <v>55</v>
      </c>
      <c r="I400" s="1" t="s">
        <v>911</v>
      </c>
    </row>
    <row r="401" spans="1:9" x14ac:dyDescent="0.3">
      <c r="A401" s="3">
        <v>400</v>
      </c>
      <c r="B401" s="1" t="s">
        <v>2621</v>
      </c>
      <c r="C401" s="1" t="s">
        <v>392</v>
      </c>
      <c r="D401" s="3" t="s">
        <v>3490</v>
      </c>
      <c r="E401" s="1" t="s">
        <v>1118</v>
      </c>
      <c r="F401" s="1" t="s">
        <v>1389</v>
      </c>
      <c r="G401" s="1" t="s">
        <v>1861</v>
      </c>
      <c r="H401" s="1" t="s">
        <v>2081</v>
      </c>
      <c r="I401" s="1" t="s">
        <v>912</v>
      </c>
    </row>
    <row r="402" spans="1:9" x14ac:dyDescent="0.3">
      <c r="A402" s="3">
        <v>401</v>
      </c>
      <c r="B402" s="1" t="s">
        <v>2622</v>
      </c>
      <c r="C402" s="1" t="s">
        <v>393</v>
      </c>
      <c r="D402" s="3" t="s">
        <v>3490</v>
      </c>
      <c r="E402" s="1" t="s">
        <v>1118</v>
      </c>
      <c r="F402" s="1" t="s">
        <v>1390</v>
      </c>
      <c r="G402" s="1" t="s">
        <v>1862</v>
      </c>
      <c r="H402" s="1" t="s">
        <v>2061</v>
      </c>
    </row>
    <row r="403" spans="1:9" x14ac:dyDescent="0.3">
      <c r="A403" s="3">
        <v>402</v>
      </c>
      <c r="B403" s="1" t="s">
        <v>2623</v>
      </c>
      <c r="C403" s="1" t="s">
        <v>394</v>
      </c>
      <c r="D403" s="3" t="s">
        <v>3490</v>
      </c>
      <c r="E403" s="1" t="s">
        <v>1118</v>
      </c>
      <c r="F403" s="1" t="s">
        <v>1121</v>
      </c>
      <c r="G403" s="1" t="s">
        <v>1863</v>
      </c>
      <c r="I403" s="1" t="s">
        <v>913</v>
      </c>
    </row>
    <row r="404" spans="1:9" x14ac:dyDescent="0.3">
      <c r="A404" s="3">
        <v>403</v>
      </c>
      <c r="B404" s="1" t="s">
        <v>2624</v>
      </c>
      <c r="C404" s="1" t="s">
        <v>2215</v>
      </c>
      <c r="D404" s="3" t="s">
        <v>3490</v>
      </c>
      <c r="E404" s="1" t="s">
        <v>1118</v>
      </c>
      <c r="F404" s="1" t="s">
        <v>1391</v>
      </c>
      <c r="G404" s="1" t="s">
        <v>1864</v>
      </c>
      <c r="I404" s="1" t="s">
        <v>914</v>
      </c>
    </row>
    <row r="405" spans="1:9" x14ac:dyDescent="0.3">
      <c r="A405" s="3">
        <v>404</v>
      </c>
      <c r="B405" s="1" t="s">
        <v>2625</v>
      </c>
      <c r="C405" s="1" t="s">
        <v>395</v>
      </c>
      <c r="D405" s="3" t="s">
        <v>3490</v>
      </c>
      <c r="E405" s="1" t="s">
        <v>1118</v>
      </c>
      <c r="F405" s="1" t="s">
        <v>1213</v>
      </c>
      <c r="G405" s="1" t="s">
        <v>1865</v>
      </c>
      <c r="H405" s="1" t="s">
        <v>2066</v>
      </c>
      <c r="I405" s="1" t="s">
        <v>915</v>
      </c>
    </row>
    <row r="406" spans="1:9" x14ac:dyDescent="0.3">
      <c r="A406" s="3">
        <v>405</v>
      </c>
      <c r="B406" s="1" t="s">
        <v>2626</v>
      </c>
      <c r="C406" s="1" t="s">
        <v>396</v>
      </c>
      <c r="D406" s="3" t="s">
        <v>3490</v>
      </c>
      <c r="E406" s="1" t="s">
        <v>1114</v>
      </c>
      <c r="F406" s="1" t="s">
        <v>55</v>
      </c>
      <c r="G406" s="1" t="s">
        <v>1866</v>
      </c>
      <c r="H406" s="1" t="s">
        <v>704</v>
      </c>
      <c r="I406" s="1" t="s">
        <v>916</v>
      </c>
    </row>
    <row r="407" spans="1:9" x14ac:dyDescent="0.3">
      <c r="A407" s="3">
        <v>406</v>
      </c>
      <c r="B407" s="1" t="s">
        <v>2627</v>
      </c>
      <c r="C407" s="1" t="s">
        <v>397</v>
      </c>
      <c r="D407" s="3" t="s">
        <v>3490</v>
      </c>
      <c r="E407" s="1" t="s">
        <v>1118</v>
      </c>
      <c r="F407" s="1" t="s">
        <v>1392</v>
      </c>
      <c r="G407" s="1" t="s">
        <v>1867</v>
      </c>
      <c r="H407" s="1" t="s">
        <v>704</v>
      </c>
      <c r="I407" s="1" t="s">
        <v>917</v>
      </c>
    </row>
    <row r="408" spans="1:9" x14ac:dyDescent="0.3">
      <c r="A408" s="3">
        <v>407</v>
      </c>
      <c r="B408" s="1" t="s">
        <v>2628</v>
      </c>
      <c r="C408" s="1" t="s">
        <v>398</v>
      </c>
      <c r="D408" s="3" t="s">
        <v>3490</v>
      </c>
      <c r="E408" s="1" t="s">
        <v>1114</v>
      </c>
      <c r="F408" s="1" t="s">
        <v>1351</v>
      </c>
      <c r="G408" s="1" t="s">
        <v>704</v>
      </c>
      <c r="H408" s="1" t="s">
        <v>704</v>
      </c>
      <c r="I408" s="1" t="s">
        <v>918</v>
      </c>
    </row>
    <row r="409" spans="1:9" x14ac:dyDescent="0.3">
      <c r="A409" s="3">
        <v>408</v>
      </c>
      <c r="B409" s="1" t="s">
        <v>2629</v>
      </c>
      <c r="C409" s="1" t="s">
        <v>399</v>
      </c>
      <c r="D409" s="3" t="s">
        <v>3490</v>
      </c>
      <c r="E409" s="1" t="s">
        <v>1116</v>
      </c>
      <c r="F409" s="1" t="s">
        <v>55</v>
      </c>
      <c r="H409" s="1" t="s">
        <v>704</v>
      </c>
      <c r="I409" s="1" t="s">
        <v>919</v>
      </c>
    </row>
    <row r="410" spans="1:9" x14ac:dyDescent="0.3">
      <c r="A410" s="3">
        <v>409</v>
      </c>
      <c r="B410" s="1" t="s">
        <v>2630</v>
      </c>
      <c r="C410" s="1" t="s">
        <v>400</v>
      </c>
      <c r="D410" s="3" t="s">
        <v>3489</v>
      </c>
      <c r="E410" s="1" t="s">
        <v>1114</v>
      </c>
      <c r="F410" s="1" t="s">
        <v>1393</v>
      </c>
      <c r="G410" s="1" t="s">
        <v>1868</v>
      </c>
      <c r="H410" s="1" t="s">
        <v>704</v>
      </c>
      <c r="I410" s="1" t="s">
        <v>920</v>
      </c>
    </row>
    <row r="411" spans="1:9" x14ac:dyDescent="0.3">
      <c r="A411" s="3">
        <v>410</v>
      </c>
      <c r="B411" s="1" t="s">
        <v>2631</v>
      </c>
      <c r="C411" s="1" t="s">
        <v>401</v>
      </c>
      <c r="D411" s="3" t="s">
        <v>3490</v>
      </c>
      <c r="E411" s="1" t="s">
        <v>1118</v>
      </c>
      <c r="F411" s="1" t="s">
        <v>1394</v>
      </c>
      <c r="G411" s="1" t="s">
        <v>1763</v>
      </c>
      <c r="H411" s="1" t="s">
        <v>704</v>
      </c>
      <c r="I411" s="1" t="s">
        <v>921</v>
      </c>
    </row>
    <row r="412" spans="1:9" x14ac:dyDescent="0.3">
      <c r="A412" s="3">
        <v>411</v>
      </c>
      <c r="B412" s="1" t="s">
        <v>2632</v>
      </c>
      <c r="C412" s="1" t="s">
        <v>402</v>
      </c>
      <c r="D412" s="3" t="s">
        <v>3490</v>
      </c>
      <c r="E412" s="1" t="s">
        <v>1118</v>
      </c>
      <c r="F412" s="1" t="s">
        <v>1395</v>
      </c>
      <c r="G412" s="1" t="s">
        <v>1869</v>
      </c>
      <c r="H412" s="1" t="s">
        <v>2082</v>
      </c>
      <c r="I412" s="1" t="s">
        <v>922</v>
      </c>
    </row>
    <row r="413" spans="1:9" x14ac:dyDescent="0.3">
      <c r="A413" s="3">
        <v>412</v>
      </c>
      <c r="B413" s="1" t="s">
        <v>2633</v>
      </c>
      <c r="C413" s="1" t="s">
        <v>403</v>
      </c>
      <c r="D413" s="3" t="s">
        <v>3490</v>
      </c>
      <c r="E413" s="1" t="s">
        <v>1118</v>
      </c>
      <c r="F413" s="1" t="s">
        <v>1270</v>
      </c>
      <c r="G413" s="1" t="s">
        <v>1763</v>
      </c>
      <c r="H413" s="1" t="s">
        <v>704</v>
      </c>
      <c r="I413" s="1" t="s">
        <v>923</v>
      </c>
    </row>
    <row r="414" spans="1:9" x14ac:dyDescent="0.3">
      <c r="A414" s="3">
        <v>413</v>
      </c>
      <c r="B414" s="1" t="s">
        <v>2634</v>
      </c>
      <c r="C414" s="1" t="s">
        <v>404</v>
      </c>
      <c r="D414" s="3" t="s">
        <v>3489</v>
      </c>
      <c r="E414" s="1" t="s">
        <v>1118</v>
      </c>
      <c r="F414" s="1" t="s">
        <v>1396</v>
      </c>
      <c r="G414" s="1" t="s">
        <v>1870</v>
      </c>
      <c r="H414" s="1" t="s">
        <v>2059</v>
      </c>
      <c r="I414" s="1" t="s">
        <v>924</v>
      </c>
    </row>
    <row r="415" spans="1:9" x14ac:dyDescent="0.3">
      <c r="A415" s="3">
        <v>414</v>
      </c>
      <c r="B415" s="1" t="s">
        <v>2635</v>
      </c>
      <c r="C415" s="1" t="s">
        <v>405</v>
      </c>
      <c r="D415" s="3" t="s">
        <v>3490</v>
      </c>
      <c r="E415" s="1" t="s">
        <v>1118</v>
      </c>
      <c r="F415" s="1" t="s">
        <v>69</v>
      </c>
      <c r="G415" s="1" t="s">
        <v>1871</v>
      </c>
      <c r="H415" s="1" t="s">
        <v>704</v>
      </c>
      <c r="I415" s="1" t="s">
        <v>925</v>
      </c>
    </row>
    <row r="416" spans="1:9" x14ac:dyDescent="0.3">
      <c r="A416" s="3">
        <v>415</v>
      </c>
      <c r="B416" s="1" t="s">
        <v>2636</v>
      </c>
      <c r="C416" s="1" t="s">
        <v>406</v>
      </c>
      <c r="D416" s="3" t="s">
        <v>3489</v>
      </c>
      <c r="E416" s="1" t="s">
        <v>1118</v>
      </c>
      <c r="F416" s="1" t="s">
        <v>1397</v>
      </c>
      <c r="G416" s="1" t="s">
        <v>1872</v>
      </c>
      <c r="H416" s="1" t="s">
        <v>2075</v>
      </c>
      <c r="I416" s="1" t="s">
        <v>926</v>
      </c>
    </row>
    <row r="417" spans="1:9" x14ac:dyDescent="0.3">
      <c r="A417" s="3">
        <v>416</v>
      </c>
      <c r="B417" s="1" t="s">
        <v>2637</v>
      </c>
      <c r="C417" s="1" t="s">
        <v>407</v>
      </c>
      <c r="D417" s="3" t="s">
        <v>3490</v>
      </c>
      <c r="E417" s="1" t="s">
        <v>1113</v>
      </c>
      <c r="F417" s="1" t="s">
        <v>1398</v>
      </c>
      <c r="G417" s="1" t="s">
        <v>1873</v>
      </c>
      <c r="H417" s="1" t="s">
        <v>2083</v>
      </c>
      <c r="I417" s="1" t="s">
        <v>927</v>
      </c>
    </row>
    <row r="418" spans="1:9" x14ac:dyDescent="0.3">
      <c r="A418" s="3">
        <v>417</v>
      </c>
      <c r="B418" s="1" t="s">
        <v>2638</v>
      </c>
      <c r="C418" s="1" t="s">
        <v>2216</v>
      </c>
      <c r="D418" s="3" t="s">
        <v>3490</v>
      </c>
      <c r="E418" s="1" t="s">
        <v>1118</v>
      </c>
      <c r="F418" s="1" t="s">
        <v>1399</v>
      </c>
      <c r="G418" s="1" t="s">
        <v>1874</v>
      </c>
      <c r="H418" s="1" t="s">
        <v>704</v>
      </c>
      <c r="I418" s="1" t="s">
        <v>928</v>
      </c>
    </row>
    <row r="419" spans="1:9" x14ac:dyDescent="0.3">
      <c r="A419" s="3">
        <v>418</v>
      </c>
      <c r="B419" s="1" t="s">
        <v>2639</v>
      </c>
      <c r="C419" s="1" t="s">
        <v>408</v>
      </c>
      <c r="D419" s="3" t="s">
        <v>3490</v>
      </c>
      <c r="E419" s="1" t="s">
        <v>1118</v>
      </c>
      <c r="F419" s="1" t="s">
        <v>1400</v>
      </c>
      <c r="G419" s="1" t="s">
        <v>1875</v>
      </c>
      <c r="H419" s="1" t="s">
        <v>2067</v>
      </c>
      <c r="I419" s="1" t="s">
        <v>929</v>
      </c>
    </row>
    <row r="420" spans="1:9" x14ac:dyDescent="0.3">
      <c r="A420" s="3">
        <v>419</v>
      </c>
      <c r="B420" s="1" t="s">
        <v>2640</v>
      </c>
      <c r="C420" s="1" t="s">
        <v>409</v>
      </c>
      <c r="D420" s="3" t="s">
        <v>3490</v>
      </c>
      <c r="E420" s="1" t="s">
        <v>1113</v>
      </c>
      <c r="F420" s="1" t="s">
        <v>1401</v>
      </c>
      <c r="G420" s="1" t="s">
        <v>1876</v>
      </c>
      <c r="H420" s="1" t="s">
        <v>704</v>
      </c>
      <c r="I420" s="1" t="s">
        <v>930</v>
      </c>
    </row>
    <row r="421" spans="1:9" x14ac:dyDescent="0.3">
      <c r="A421" s="3">
        <v>420</v>
      </c>
      <c r="B421" s="1" t="s">
        <v>2641</v>
      </c>
      <c r="C421" s="1" t="s">
        <v>410</v>
      </c>
      <c r="D421" s="3" t="s">
        <v>3490</v>
      </c>
      <c r="E421" s="1" t="s">
        <v>1118</v>
      </c>
      <c r="F421" s="1" t="s">
        <v>1154</v>
      </c>
      <c r="G421" s="1" t="s">
        <v>1877</v>
      </c>
      <c r="H421" s="1" t="s">
        <v>704</v>
      </c>
      <c r="I421" s="1" t="s">
        <v>931</v>
      </c>
    </row>
    <row r="422" spans="1:9" x14ac:dyDescent="0.3">
      <c r="A422" s="3">
        <v>421</v>
      </c>
      <c r="B422" s="1" t="s">
        <v>2642</v>
      </c>
      <c r="C422" s="1" t="s">
        <v>411</v>
      </c>
      <c r="D422" s="3" t="s">
        <v>3490</v>
      </c>
      <c r="E422" s="1" t="s">
        <v>1118</v>
      </c>
      <c r="F422" s="1" t="s">
        <v>1402</v>
      </c>
      <c r="G422" s="1" t="s">
        <v>1878</v>
      </c>
      <c r="H422" s="1" t="s">
        <v>704</v>
      </c>
      <c r="I422" s="1" t="s">
        <v>932</v>
      </c>
    </row>
    <row r="423" spans="1:9" x14ac:dyDescent="0.3">
      <c r="A423" s="3">
        <v>422</v>
      </c>
      <c r="B423" s="1" t="s">
        <v>2643</v>
      </c>
      <c r="C423" s="1" t="s">
        <v>344</v>
      </c>
      <c r="D423" s="3" t="s">
        <v>3489</v>
      </c>
      <c r="E423" s="1" t="s">
        <v>1118</v>
      </c>
      <c r="F423" s="1" t="s">
        <v>1137</v>
      </c>
      <c r="G423" s="1" t="s">
        <v>1879</v>
      </c>
      <c r="H423" s="1" t="s">
        <v>704</v>
      </c>
      <c r="I423" s="1" t="s">
        <v>848</v>
      </c>
    </row>
    <row r="424" spans="1:9" x14ac:dyDescent="0.3">
      <c r="A424" s="3">
        <v>423</v>
      </c>
      <c r="B424" s="1" t="s">
        <v>2644</v>
      </c>
      <c r="C424" s="1" t="s">
        <v>412</v>
      </c>
      <c r="D424" s="3" t="s">
        <v>3490</v>
      </c>
      <c r="E424" s="1" t="s">
        <v>1118</v>
      </c>
      <c r="F424" s="1" t="s">
        <v>1403</v>
      </c>
      <c r="G424" s="1" t="s">
        <v>1880</v>
      </c>
      <c r="H424" s="1" t="s">
        <v>704</v>
      </c>
      <c r="I424" s="1" t="s">
        <v>933</v>
      </c>
    </row>
    <row r="425" spans="1:9" x14ac:dyDescent="0.3">
      <c r="A425" s="3">
        <v>424</v>
      </c>
      <c r="B425" s="1" t="s">
        <v>2645</v>
      </c>
      <c r="C425" s="1" t="s">
        <v>413</v>
      </c>
      <c r="D425" s="3" t="s">
        <v>3490</v>
      </c>
      <c r="E425" s="1" t="s">
        <v>1118</v>
      </c>
      <c r="F425" s="1" t="s">
        <v>65</v>
      </c>
      <c r="G425" s="1" t="s">
        <v>1881</v>
      </c>
      <c r="H425" s="1" t="s">
        <v>2088</v>
      </c>
      <c r="I425" s="1" t="s">
        <v>934</v>
      </c>
    </row>
    <row r="426" spans="1:9" x14ac:dyDescent="0.3">
      <c r="A426" s="3">
        <v>425</v>
      </c>
      <c r="B426" s="1" t="s">
        <v>2646</v>
      </c>
      <c r="C426" s="1" t="s">
        <v>414</v>
      </c>
      <c r="D426" s="3" t="s">
        <v>3490</v>
      </c>
      <c r="E426" s="1" t="s">
        <v>1118</v>
      </c>
      <c r="F426" s="1" t="s">
        <v>65</v>
      </c>
      <c r="G426" s="1" t="s">
        <v>1882</v>
      </c>
      <c r="H426" s="1" t="s">
        <v>704</v>
      </c>
      <c r="I426" s="1" t="s">
        <v>935</v>
      </c>
    </row>
    <row r="427" spans="1:9" x14ac:dyDescent="0.3">
      <c r="A427" s="3">
        <v>426</v>
      </c>
      <c r="B427" s="1" t="s">
        <v>2647</v>
      </c>
      <c r="C427" s="1" t="s">
        <v>415</v>
      </c>
      <c r="D427" s="3" t="s">
        <v>3490</v>
      </c>
      <c r="E427" s="1" t="s">
        <v>1115</v>
      </c>
      <c r="F427" s="1" t="s">
        <v>1259</v>
      </c>
      <c r="G427" s="1" t="s">
        <v>1883</v>
      </c>
      <c r="H427" s="1" t="s">
        <v>31</v>
      </c>
    </row>
    <row r="428" spans="1:9" x14ac:dyDescent="0.3">
      <c r="A428" s="3">
        <v>427</v>
      </c>
      <c r="B428" s="1" t="s">
        <v>2648</v>
      </c>
      <c r="C428" s="1" t="s">
        <v>416</v>
      </c>
      <c r="D428" s="3" t="s">
        <v>3490</v>
      </c>
      <c r="E428" s="1" t="s">
        <v>1113</v>
      </c>
      <c r="F428" s="1" t="s">
        <v>1404</v>
      </c>
      <c r="G428" s="1" t="s">
        <v>1884</v>
      </c>
      <c r="H428" s="1" t="s">
        <v>704</v>
      </c>
      <c r="I428" s="1" t="s">
        <v>936</v>
      </c>
    </row>
    <row r="429" spans="1:9" x14ac:dyDescent="0.3">
      <c r="A429" s="3">
        <v>428</v>
      </c>
      <c r="B429" s="1" t="s">
        <v>2649</v>
      </c>
      <c r="C429" s="1" t="s">
        <v>417</v>
      </c>
      <c r="D429" s="3" t="s">
        <v>3490</v>
      </c>
      <c r="E429" s="1" t="s">
        <v>1118</v>
      </c>
      <c r="F429" s="1" t="s">
        <v>1405</v>
      </c>
      <c r="G429" s="1" t="s">
        <v>1885</v>
      </c>
      <c r="H429" s="1" t="s">
        <v>704</v>
      </c>
      <c r="I429" s="1" t="s">
        <v>676</v>
      </c>
    </row>
    <row r="430" spans="1:9" x14ac:dyDescent="0.3">
      <c r="A430" s="3">
        <v>429</v>
      </c>
      <c r="B430" s="1" t="s">
        <v>2650</v>
      </c>
      <c r="C430" s="1" t="s">
        <v>418</v>
      </c>
      <c r="D430" s="3" t="s">
        <v>3490</v>
      </c>
      <c r="E430" s="1" t="s">
        <v>1118</v>
      </c>
      <c r="F430" s="1" t="s">
        <v>1406</v>
      </c>
      <c r="G430" s="1" t="s">
        <v>1886</v>
      </c>
      <c r="H430" s="1" t="s">
        <v>2075</v>
      </c>
      <c r="I430" s="1" t="s">
        <v>937</v>
      </c>
    </row>
    <row r="431" spans="1:9" x14ac:dyDescent="0.3">
      <c r="A431" s="3">
        <v>430</v>
      </c>
      <c r="B431" s="1" t="s">
        <v>2651</v>
      </c>
      <c r="C431" s="1" t="s">
        <v>419</v>
      </c>
      <c r="D431" s="3" t="s">
        <v>3490</v>
      </c>
      <c r="E431" s="1" t="s">
        <v>1118</v>
      </c>
      <c r="F431" s="1" t="s">
        <v>1407</v>
      </c>
      <c r="G431" s="1" t="s">
        <v>1887</v>
      </c>
      <c r="H431" s="1" t="s">
        <v>704</v>
      </c>
      <c r="I431" s="1" t="s">
        <v>938</v>
      </c>
    </row>
    <row r="432" spans="1:9" x14ac:dyDescent="0.3">
      <c r="A432" s="3">
        <v>431</v>
      </c>
      <c r="B432" s="1" t="s">
        <v>2652</v>
      </c>
      <c r="C432" s="1" t="s">
        <v>420</v>
      </c>
      <c r="D432" s="3" t="s">
        <v>3489</v>
      </c>
      <c r="E432" s="1" t="s">
        <v>1118</v>
      </c>
      <c r="F432" s="1" t="s">
        <v>33</v>
      </c>
      <c r="G432" s="1" t="s">
        <v>1888</v>
      </c>
      <c r="H432" s="1" t="s">
        <v>704</v>
      </c>
      <c r="I432" s="1" t="s">
        <v>939</v>
      </c>
    </row>
    <row r="433" spans="1:9" x14ac:dyDescent="0.3">
      <c r="A433" s="3">
        <v>432</v>
      </c>
      <c r="B433" s="1" t="s">
        <v>2653</v>
      </c>
      <c r="C433" s="1" t="s">
        <v>421</v>
      </c>
      <c r="D433" s="3" t="s">
        <v>3490</v>
      </c>
      <c r="E433" s="1" t="s">
        <v>1113</v>
      </c>
      <c r="F433" s="1" t="s">
        <v>1408</v>
      </c>
      <c r="G433" s="1" t="s">
        <v>1889</v>
      </c>
      <c r="H433" s="1" t="s">
        <v>704</v>
      </c>
      <c r="I433" s="1" t="s">
        <v>940</v>
      </c>
    </row>
    <row r="434" spans="1:9" x14ac:dyDescent="0.3">
      <c r="A434" s="3">
        <v>433</v>
      </c>
      <c r="B434" s="1" t="s">
        <v>2654</v>
      </c>
      <c r="C434" s="1" t="s">
        <v>422</v>
      </c>
      <c r="D434" s="3" t="s">
        <v>3490</v>
      </c>
      <c r="E434" s="1" t="s">
        <v>1115</v>
      </c>
    </row>
    <row r="435" spans="1:9" x14ac:dyDescent="0.3">
      <c r="A435" s="3">
        <v>434</v>
      </c>
      <c r="B435" s="1" t="s">
        <v>2655</v>
      </c>
      <c r="C435" s="1" t="s">
        <v>423</v>
      </c>
      <c r="D435" s="3" t="s">
        <v>3490</v>
      </c>
      <c r="E435" s="1" t="s">
        <v>1118</v>
      </c>
      <c r="F435" s="1" t="s">
        <v>1409</v>
      </c>
      <c r="G435" s="1" t="s">
        <v>1890</v>
      </c>
      <c r="H435" s="1" t="s">
        <v>704</v>
      </c>
      <c r="I435" s="1" t="s">
        <v>941</v>
      </c>
    </row>
    <row r="436" spans="1:9" x14ac:dyDescent="0.3">
      <c r="A436" s="3">
        <v>435</v>
      </c>
      <c r="B436" s="1" t="s">
        <v>2656</v>
      </c>
      <c r="C436" s="1" t="s">
        <v>424</v>
      </c>
      <c r="D436" s="3" t="s">
        <v>3490</v>
      </c>
      <c r="E436" s="1" t="s">
        <v>1113</v>
      </c>
      <c r="F436" s="1" t="s">
        <v>1410</v>
      </c>
      <c r="G436" s="1" t="s">
        <v>1891</v>
      </c>
      <c r="H436" s="1" t="s">
        <v>2075</v>
      </c>
      <c r="I436" s="1" t="s">
        <v>942</v>
      </c>
    </row>
    <row r="437" spans="1:9" x14ac:dyDescent="0.3">
      <c r="A437" s="3">
        <v>436</v>
      </c>
      <c r="B437" s="1" t="s">
        <v>2657</v>
      </c>
      <c r="C437" s="1" t="s">
        <v>425</v>
      </c>
      <c r="D437" s="3" t="s">
        <v>3490</v>
      </c>
      <c r="E437" s="1" t="s">
        <v>1113</v>
      </c>
      <c r="F437" s="1" t="s">
        <v>1411</v>
      </c>
      <c r="G437" s="1" t="s">
        <v>1892</v>
      </c>
      <c r="H437" s="1" t="s">
        <v>704</v>
      </c>
      <c r="I437" s="1" t="s">
        <v>943</v>
      </c>
    </row>
    <row r="438" spans="1:9" x14ac:dyDescent="0.3">
      <c r="A438" s="3">
        <v>437</v>
      </c>
      <c r="B438" s="1" t="s">
        <v>2658</v>
      </c>
      <c r="C438" s="1" t="s">
        <v>426</v>
      </c>
      <c r="D438" s="3" t="s">
        <v>3490</v>
      </c>
      <c r="E438" s="1" t="s">
        <v>1118</v>
      </c>
      <c r="F438" s="1" t="s">
        <v>9</v>
      </c>
      <c r="G438" s="1" t="s">
        <v>1893</v>
      </c>
      <c r="H438" s="1" t="s">
        <v>2075</v>
      </c>
      <c r="I438" s="1" t="s">
        <v>944</v>
      </c>
    </row>
    <row r="439" spans="1:9" x14ac:dyDescent="0.3">
      <c r="A439" s="3">
        <v>438</v>
      </c>
      <c r="B439" s="1" t="s">
        <v>2659</v>
      </c>
      <c r="C439" s="1" t="s">
        <v>427</v>
      </c>
      <c r="D439" s="3" t="s">
        <v>3490</v>
      </c>
      <c r="E439" s="1" t="s">
        <v>1113</v>
      </c>
      <c r="F439" s="1" t="s">
        <v>1412</v>
      </c>
      <c r="G439" s="1" t="s">
        <v>1894</v>
      </c>
      <c r="H439" s="1" t="s">
        <v>704</v>
      </c>
      <c r="I439" s="1" t="s">
        <v>945</v>
      </c>
    </row>
    <row r="440" spans="1:9" x14ac:dyDescent="0.3">
      <c r="A440" s="3">
        <v>439</v>
      </c>
      <c r="B440" s="1" t="s">
        <v>2660</v>
      </c>
      <c r="C440" s="1" t="s">
        <v>428</v>
      </c>
      <c r="D440" s="3" t="s">
        <v>3490</v>
      </c>
      <c r="E440" s="1" t="s">
        <v>1118</v>
      </c>
      <c r="F440" s="1" t="s">
        <v>1257</v>
      </c>
      <c r="G440" s="1" t="s">
        <v>1895</v>
      </c>
      <c r="H440" s="1" t="s">
        <v>704</v>
      </c>
      <c r="I440" s="1" t="s">
        <v>946</v>
      </c>
    </row>
    <row r="441" spans="1:9" x14ac:dyDescent="0.3">
      <c r="A441" s="3">
        <v>440</v>
      </c>
      <c r="B441" s="1" t="s">
        <v>2661</v>
      </c>
      <c r="C441" s="1" t="s">
        <v>429</v>
      </c>
      <c r="D441" s="3" t="s">
        <v>3490</v>
      </c>
      <c r="E441" s="1" t="s">
        <v>1118</v>
      </c>
      <c r="F441" s="1" t="s">
        <v>33</v>
      </c>
      <c r="G441" s="1" t="s">
        <v>1896</v>
      </c>
      <c r="H441" s="1" t="s">
        <v>704</v>
      </c>
      <c r="I441" s="1" t="s">
        <v>947</v>
      </c>
    </row>
    <row r="442" spans="1:9" x14ac:dyDescent="0.3">
      <c r="A442" s="3">
        <v>441</v>
      </c>
      <c r="B442" s="1" t="s">
        <v>2662</v>
      </c>
      <c r="C442" s="1" t="s">
        <v>430</v>
      </c>
      <c r="D442" s="3" t="s">
        <v>3489</v>
      </c>
      <c r="E442" s="1" t="s">
        <v>1118</v>
      </c>
      <c r="F442" s="1" t="s">
        <v>1413</v>
      </c>
      <c r="G442" s="1" t="s">
        <v>1897</v>
      </c>
      <c r="H442" s="1" t="s">
        <v>704</v>
      </c>
      <c r="I442" s="1" t="s">
        <v>948</v>
      </c>
    </row>
    <row r="443" spans="1:9" x14ac:dyDescent="0.3">
      <c r="A443" s="3">
        <v>442</v>
      </c>
      <c r="B443" s="1" t="s">
        <v>2663</v>
      </c>
      <c r="C443" s="1" t="s">
        <v>431</v>
      </c>
      <c r="D443" s="3" t="s">
        <v>3489</v>
      </c>
      <c r="E443" s="1" t="s">
        <v>1114</v>
      </c>
      <c r="F443" s="1" t="s">
        <v>1414</v>
      </c>
      <c r="G443" s="1" t="s">
        <v>1898</v>
      </c>
      <c r="H443" s="1" t="s">
        <v>704</v>
      </c>
      <c r="I443" s="1" t="s">
        <v>949</v>
      </c>
    </row>
    <row r="444" spans="1:9" x14ac:dyDescent="0.3">
      <c r="A444" s="3">
        <v>443</v>
      </c>
      <c r="B444" s="1" t="s">
        <v>2664</v>
      </c>
      <c r="C444" s="1" t="s">
        <v>432</v>
      </c>
      <c r="D444" s="3" t="s">
        <v>3490</v>
      </c>
      <c r="E444" s="1" t="s">
        <v>1118</v>
      </c>
      <c r="F444" s="1" t="s">
        <v>1415</v>
      </c>
      <c r="G444" s="1" t="s">
        <v>1897</v>
      </c>
      <c r="H444" s="1" t="s">
        <v>704</v>
      </c>
      <c r="I444" s="1" t="s">
        <v>950</v>
      </c>
    </row>
    <row r="445" spans="1:9" x14ac:dyDescent="0.3">
      <c r="A445" s="3">
        <v>444</v>
      </c>
      <c r="B445" s="1" t="s">
        <v>2665</v>
      </c>
      <c r="C445" s="1" t="s">
        <v>433</v>
      </c>
      <c r="D445" s="3" t="s">
        <v>3490</v>
      </c>
      <c r="E445" s="1" t="s">
        <v>1118</v>
      </c>
      <c r="F445" s="1" t="s">
        <v>1416</v>
      </c>
      <c r="G445" s="1" t="s">
        <v>1899</v>
      </c>
      <c r="H445" s="1" t="s">
        <v>704</v>
      </c>
      <c r="I445" s="1" t="s">
        <v>951</v>
      </c>
    </row>
    <row r="446" spans="1:9" x14ac:dyDescent="0.3">
      <c r="A446" s="3">
        <v>445</v>
      </c>
      <c r="B446" s="1" t="s">
        <v>2666</v>
      </c>
      <c r="C446" s="1" t="s">
        <v>434</v>
      </c>
      <c r="D446" s="3" t="s">
        <v>3490</v>
      </c>
      <c r="E446" s="1" t="s">
        <v>1118</v>
      </c>
      <c r="F446" s="1" t="s">
        <v>1417</v>
      </c>
      <c r="G446" s="1" t="s">
        <v>1900</v>
      </c>
      <c r="H446" s="1" t="s">
        <v>704</v>
      </c>
      <c r="I446" s="1" t="s">
        <v>952</v>
      </c>
    </row>
    <row r="447" spans="1:9" x14ac:dyDescent="0.3">
      <c r="A447" s="3">
        <v>446</v>
      </c>
      <c r="B447" s="1" t="s">
        <v>2667</v>
      </c>
      <c r="C447" s="1" t="s">
        <v>435</v>
      </c>
      <c r="D447" s="3" t="s">
        <v>3490</v>
      </c>
      <c r="E447" s="1" t="s">
        <v>1116</v>
      </c>
      <c r="F447" s="1" t="s">
        <v>55</v>
      </c>
      <c r="G447" s="1" t="s">
        <v>1901</v>
      </c>
      <c r="H447" s="1" t="s">
        <v>704</v>
      </c>
      <c r="I447" s="1" t="s">
        <v>953</v>
      </c>
    </row>
    <row r="448" spans="1:9" x14ac:dyDescent="0.3">
      <c r="A448" s="3">
        <v>447</v>
      </c>
      <c r="B448" s="1" t="s">
        <v>2668</v>
      </c>
      <c r="C448" s="1" t="s">
        <v>436</v>
      </c>
      <c r="D448" s="3" t="s">
        <v>3490</v>
      </c>
      <c r="E448" s="1" t="s">
        <v>1114</v>
      </c>
      <c r="F448" s="1" t="s">
        <v>55</v>
      </c>
      <c r="I448" s="1" t="s">
        <v>954</v>
      </c>
    </row>
    <row r="449" spans="1:9" x14ac:dyDescent="0.3">
      <c r="A449" s="3">
        <v>448</v>
      </c>
      <c r="B449" s="1" t="s">
        <v>2669</v>
      </c>
      <c r="C449" s="1" t="s">
        <v>437</v>
      </c>
      <c r="D449" s="3" t="s">
        <v>3490</v>
      </c>
      <c r="E449" s="1" t="s">
        <v>1118</v>
      </c>
      <c r="F449" s="1" t="s">
        <v>65</v>
      </c>
      <c r="G449" s="1" t="s">
        <v>1902</v>
      </c>
      <c r="H449" s="1" t="s">
        <v>704</v>
      </c>
      <c r="I449" s="1" t="s">
        <v>955</v>
      </c>
    </row>
    <row r="450" spans="1:9" x14ac:dyDescent="0.3">
      <c r="A450" s="3">
        <v>449</v>
      </c>
      <c r="B450" s="1" t="s">
        <v>2670</v>
      </c>
      <c r="C450" s="1" t="s">
        <v>438</v>
      </c>
      <c r="D450" s="3" t="s">
        <v>3490</v>
      </c>
      <c r="E450" s="1" t="s">
        <v>1118</v>
      </c>
      <c r="F450" s="1" t="s">
        <v>1229</v>
      </c>
      <c r="G450" s="1" t="s">
        <v>1903</v>
      </c>
      <c r="H450" s="1" t="s">
        <v>704</v>
      </c>
      <c r="I450" s="1" t="s">
        <v>956</v>
      </c>
    </row>
    <row r="451" spans="1:9" x14ac:dyDescent="0.3">
      <c r="A451" s="3">
        <v>450</v>
      </c>
      <c r="B451" s="1" t="s">
        <v>2671</v>
      </c>
      <c r="C451" s="1" t="s">
        <v>439</v>
      </c>
      <c r="D451" s="3" t="s">
        <v>3490</v>
      </c>
      <c r="E451" s="1" t="s">
        <v>1118</v>
      </c>
      <c r="F451" s="1" t="s">
        <v>9</v>
      </c>
      <c r="G451" s="1" t="s">
        <v>1904</v>
      </c>
      <c r="H451" s="1" t="s">
        <v>704</v>
      </c>
      <c r="I451" s="1" t="s">
        <v>957</v>
      </c>
    </row>
    <row r="452" spans="1:9" x14ac:dyDescent="0.3">
      <c r="A452" s="3">
        <v>451</v>
      </c>
      <c r="B452" s="1" t="s">
        <v>2672</v>
      </c>
      <c r="C452" s="1" t="s">
        <v>440</v>
      </c>
      <c r="D452" s="3" t="s">
        <v>3489</v>
      </c>
      <c r="E452" s="1" t="s">
        <v>1113</v>
      </c>
      <c r="F452" s="1" t="s">
        <v>1282</v>
      </c>
      <c r="G452" s="1" t="s">
        <v>1905</v>
      </c>
      <c r="H452" s="1" t="s">
        <v>704</v>
      </c>
      <c r="I452" s="1" t="s">
        <v>958</v>
      </c>
    </row>
    <row r="453" spans="1:9" x14ac:dyDescent="0.3">
      <c r="A453" s="3">
        <v>452</v>
      </c>
      <c r="B453" s="1" t="s">
        <v>2673</v>
      </c>
      <c r="C453" s="1" t="s">
        <v>441</v>
      </c>
      <c r="D453" s="3" t="s">
        <v>3490</v>
      </c>
      <c r="E453" s="1" t="s">
        <v>1118</v>
      </c>
      <c r="F453" s="1" t="s">
        <v>1213</v>
      </c>
      <c r="G453" s="1" t="s">
        <v>1906</v>
      </c>
      <c r="H453" s="1" t="s">
        <v>704</v>
      </c>
      <c r="I453" s="1" t="s">
        <v>959</v>
      </c>
    </row>
    <row r="454" spans="1:9" x14ac:dyDescent="0.3">
      <c r="A454" s="3">
        <v>453</v>
      </c>
      <c r="B454" s="1" t="s">
        <v>2674</v>
      </c>
      <c r="C454" s="1" t="s">
        <v>442</v>
      </c>
      <c r="D454" s="3" t="s">
        <v>3490</v>
      </c>
      <c r="E454" s="1" t="s">
        <v>1118</v>
      </c>
      <c r="F454" s="1" t="s">
        <v>1418</v>
      </c>
      <c r="G454" s="1" t="s">
        <v>1907</v>
      </c>
      <c r="H454" s="1" t="s">
        <v>704</v>
      </c>
      <c r="I454" s="1" t="s">
        <v>960</v>
      </c>
    </row>
    <row r="455" spans="1:9" x14ac:dyDescent="0.3">
      <c r="A455" s="3">
        <v>454</v>
      </c>
      <c r="B455" s="1" t="s">
        <v>2675</v>
      </c>
      <c r="C455" s="1" t="s">
        <v>366</v>
      </c>
      <c r="D455" s="3" t="s">
        <v>3490</v>
      </c>
      <c r="E455" s="1" t="s">
        <v>1118</v>
      </c>
      <c r="F455" s="1" t="s">
        <v>42</v>
      </c>
      <c r="G455" s="1" t="s">
        <v>1838</v>
      </c>
      <c r="H455" s="1" t="s">
        <v>704</v>
      </c>
      <c r="I455" s="1" t="s">
        <v>876</v>
      </c>
    </row>
    <row r="456" spans="1:9" x14ac:dyDescent="0.3">
      <c r="A456" s="3">
        <v>455</v>
      </c>
      <c r="B456" s="1" t="s">
        <v>2676</v>
      </c>
      <c r="C456" s="1" t="s">
        <v>443</v>
      </c>
      <c r="D456" s="3" t="s">
        <v>3490</v>
      </c>
      <c r="E456" s="1" t="s">
        <v>1118</v>
      </c>
      <c r="F456" s="1" t="s">
        <v>1419</v>
      </c>
      <c r="G456" s="1" t="s">
        <v>1908</v>
      </c>
      <c r="H456" s="1" t="s">
        <v>704</v>
      </c>
      <c r="I456" s="1" t="s">
        <v>961</v>
      </c>
    </row>
    <row r="457" spans="1:9" x14ac:dyDescent="0.3">
      <c r="A457" s="3">
        <v>456</v>
      </c>
      <c r="B457" s="1" t="s">
        <v>2677</v>
      </c>
      <c r="C457" s="1" t="s">
        <v>444</v>
      </c>
      <c r="D457" s="3" t="s">
        <v>3490</v>
      </c>
      <c r="E457" s="1" t="s">
        <v>1113</v>
      </c>
      <c r="F457" s="1" t="s">
        <v>1420</v>
      </c>
      <c r="G457" s="1" t="s">
        <v>1909</v>
      </c>
      <c r="H457" s="1" t="s">
        <v>2075</v>
      </c>
      <c r="I457" s="1" t="s">
        <v>962</v>
      </c>
    </row>
    <row r="458" spans="1:9" x14ac:dyDescent="0.3">
      <c r="A458" s="3">
        <v>457</v>
      </c>
      <c r="B458" s="1" t="s">
        <v>2678</v>
      </c>
      <c r="C458" s="1" t="s">
        <v>445</v>
      </c>
      <c r="D458" s="3" t="s">
        <v>3490</v>
      </c>
      <c r="E458" s="1" t="s">
        <v>1118</v>
      </c>
      <c r="F458" s="1" t="s">
        <v>1165</v>
      </c>
      <c r="G458" s="1" t="s">
        <v>1910</v>
      </c>
      <c r="H458" s="1" t="s">
        <v>704</v>
      </c>
      <c r="I458" s="1" t="s">
        <v>963</v>
      </c>
    </row>
    <row r="459" spans="1:9" x14ac:dyDescent="0.3">
      <c r="A459" s="3">
        <v>458</v>
      </c>
      <c r="B459" s="1" t="s">
        <v>2679</v>
      </c>
      <c r="C459" s="1" t="s">
        <v>446</v>
      </c>
      <c r="D459" s="3" t="s">
        <v>3490</v>
      </c>
      <c r="E459" s="1" t="s">
        <v>1118</v>
      </c>
      <c r="F459" s="1" t="s">
        <v>1421</v>
      </c>
      <c r="G459" s="1" t="s">
        <v>1911</v>
      </c>
      <c r="H459" s="1" t="s">
        <v>704</v>
      </c>
      <c r="I459" s="1" t="s">
        <v>964</v>
      </c>
    </row>
    <row r="460" spans="1:9" x14ac:dyDescent="0.3">
      <c r="A460" s="3">
        <v>459</v>
      </c>
      <c r="B460" s="1" t="s">
        <v>2680</v>
      </c>
      <c r="C460" s="1" t="s">
        <v>447</v>
      </c>
      <c r="D460" s="3" t="s">
        <v>3490</v>
      </c>
      <c r="E460" s="1" t="s">
        <v>1113</v>
      </c>
      <c r="F460" s="1" t="s">
        <v>1398</v>
      </c>
      <c r="G460" s="1" t="s">
        <v>1912</v>
      </c>
      <c r="H460" s="1" t="s">
        <v>704</v>
      </c>
      <c r="I460" s="1" t="s">
        <v>965</v>
      </c>
    </row>
    <row r="461" spans="1:9" x14ac:dyDescent="0.3">
      <c r="A461" s="3">
        <v>460</v>
      </c>
      <c r="B461" s="1" t="s">
        <v>2681</v>
      </c>
      <c r="C461" s="1" t="s">
        <v>448</v>
      </c>
      <c r="D461" s="3" t="s">
        <v>3490</v>
      </c>
      <c r="E461" s="1" t="s">
        <v>1113</v>
      </c>
      <c r="F461" s="1" t="s">
        <v>1121</v>
      </c>
      <c r="G461" s="1" t="s">
        <v>1913</v>
      </c>
      <c r="H461" s="1" t="s">
        <v>704</v>
      </c>
      <c r="I461" s="1" t="s">
        <v>966</v>
      </c>
    </row>
    <row r="462" spans="1:9" x14ac:dyDescent="0.3">
      <c r="A462" s="3">
        <v>461</v>
      </c>
      <c r="B462" s="1" t="s">
        <v>2682</v>
      </c>
      <c r="C462" s="1" t="s">
        <v>449</v>
      </c>
      <c r="D462" s="3" t="s">
        <v>3489</v>
      </c>
      <c r="E462" s="1" t="s">
        <v>1118</v>
      </c>
      <c r="F462" s="1" t="s">
        <v>1422</v>
      </c>
      <c r="G462" s="1" t="s">
        <v>1914</v>
      </c>
      <c r="H462" s="1" t="s">
        <v>2075</v>
      </c>
      <c r="I462" s="1" t="s">
        <v>967</v>
      </c>
    </row>
    <row r="463" spans="1:9" x14ac:dyDescent="0.3">
      <c r="A463" s="3">
        <v>462</v>
      </c>
      <c r="B463" s="1" t="s">
        <v>2683</v>
      </c>
      <c r="C463" s="1" t="s">
        <v>426</v>
      </c>
      <c r="D463" s="3" t="s">
        <v>3490</v>
      </c>
      <c r="E463" s="1" t="s">
        <v>1118</v>
      </c>
      <c r="F463" s="1" t="s">
        <v>9</v>
      </c>
      <c r="G463" s="1" t="s">
        <v>1893</v>
      </c>
      <c r="H463" s="1" t="s">
        <v>2075</v>
      </c>
      <c r="I463" s="1" t="s">
        <v>968</v>
      </c>
    </row>
    <row r="464" spans="1:9" x14ac:dyDescent="0.3">
      <c r="A464" s="3">
        <v>463</v>
      </c>
      <c r="B464" s="1" t="s">
        <v>2684</v>
      </c>
      <c r="C464" s="1" t="s">
        <v>450</v>
      </c>
      <c r="D464" s="3" t="s">
        <v>3489</v>
      </c>
      <c r="E464" s="1" t="s">
        <v>1118</v>
      </c>
      <c r="F464" s="1" t="s">
        <v>704</v>
      </c>
      <c r="G464" s="1" t="s">
        <v>704</v>
      </c>
      <c r="H464" s="1" t="s">
        <v>704</v>
      </c>
      <c r="I464" s="1" t="s">
        <v>969</v>
      </c>
    </row>
    <row r="465" spans="1:9" x14ac:dyDescent="0.3">
      <c r="A465" s="3">
        <v>464</v>
      </c>
      <c r="B465" s="1" t="s">
        <v>2685</v>
      </c>
      <c r="C465" s="1" t="s">
        <v>430</v>
      </c>
      <c r="D465" s="3" t="s">
        <v>3489</v>
      </c>
      <c r="E465" s="1" t="s">
        <v>1118</v>
      </c>
      <c r="F465" s="1" t="s">
        <v>1413</v>
      </c>
      <c r="G465" s="1" t="s">
        <v>1897</v>
      </c>
      <c r="H465" s="1" t="s">
        <v>704</v>
      </c>
      <c r="I465" s="1" t="s">
        <v>970</v>
      </c>
    </row>
    <row r="466" spans="1:9" x14ac:dyDescent="0.3">
      <c r="A466" s="3">
        <v>465</v>
      </c>
      <c r="B466" s="1" t="s">
        <v>2686</v>
      </c>
      <c r="C466" s="1" t="s">
        <v>451</v>
      </c>
      <c r="D466" s="3" t="s">
        <v>3490</v>
      </c>
      <c r="E466" s="1" t="s">
        <v>1118</v>
      </c>
      <c r="F466" s="1" t="s">
        <v>1423</v>
      </c>
      <c r="G466" s="1" t="s">
        <v>1915</v>
      </c>
      <c r="H466" s="1" t="s">
        <v>704</v>
      </c>
      <c r="I466" s="1" t="s">
        <v>971</v>
      </c>
    </row>
    <row r="467" spans="1:9" x14ac:dyDescent="0.3">
      <c r="A467" s="3">
        <v>466</v>
      </c>
      <c r="B467" s="1" t="s">
        <v>2687</v>
      </c>
      <c r="C467" s="1" t="s">
        <v>452</v>
      </c>
      <c r="D467" s="3" t="s">
        <v>3490</v>
      </c>
      <c r="E467" s="1" t="s">
        <v>1118</v>
      </c>
      <c r="F467" s="1" t="s">
        <v>1257</v>
      </c>
      <c r="G467" s="1" t="s">
        <v>1916</v>
      </c>
      <c r="H467" s="1" t="s">
        <v>704</v>
      </c>
      <c r="I467" s="1" t="s">
        <v>972</v>
      </c>
    </row>
    <row r="468" spans="1:9" x14ac:dyDescent="0.3">
      <c r="A468" s="3">
        <v>467</v>
      </c>
      <c r="B468" s="1" t="s">
        <v>2688</v>
      </c>
      <c r="C468" s="1" t="s">
        <v>453</v>
      </c>
      <c r="D468" s="3" t="s">
        <v>3490</v>
      </c>
      <c r="E468" s="1" t="s">
        <v>1113</v>
      </c>
      <c r="F468" s="1" t="s">
        <v>68</v>
      </c>
      <c r="G468" s="1" t="s">
        <v>1917</v>
      </c>
      <c r="H468" s="1" t="s">
        <v>704</v>
      </c>
      <c r="I468" s="1" t="s">
        <v>973</v>
      </c>
    </row>
    <row r="469" spans="1:9" x14ac:dyDescent="0.3">
      <c r="A469" s="3">
        <v>468</v>
      </c>
      <c r="B469" s="1" t="s">
        <v>2689</v>
      </c>
      <c r="C469" s="1" t="s">
        <v>454</v>
      </c>
      <c r="D469" s="3" t="s">
        <v>3489</v>
      </c>
      <c r="E469" s="1" t="s">
        <v>1113</v>
      </c>
      <c r="F469" s="1" t="s">
        <v>1424</v>
      </c>
      <c r="G469" s="1" t="s">
        <v>1918</v>
      </c>
      <c r="H469" s="1" t="s">
        <v>2084</v>
      </c>
      <c r="I469" s="1" t="s">
        <v>974</v>
      </c>
    </row>
    <row r="470" spans="1:9" x14ac:dyDescent="0.3">
      <c r="A470" s="3">
        <v>469</v>
      </c>
      <c r="B470" s="1" t="s">
        <v>2690</v>
      </c>
      <c r="C470" s="1" t="s">
        <v>455</v>
      </c>
      <c r="D470" s="3" t="s">
        <v>3490</v>
      </c>
      <c r="E470" s="1" t="s">
        <v>1113</v>
      </c>
      <c r="F470" s="1" t="s">
        <v>1398</v>
      </c>
      <c r="G470" s="1" t="s">
        <v>1919</v>
      </c>
      <c r="H470" s="1" t="s">
        <v>704</v>
      </c>
      <c r="I470" s="1" t="s">
        <v>975</v>
      </c>
    </row>
    <row r="471" spans="1:9" x14ac:dyDescent="0.3">
      <c r="A471" s="3">
        <v>470</v>
      </c>
      <c r="B471" s="1" t="s">
        <v>2691</v>
      </c>
      <c r="C471" s="1" t="s">
        <v>456</v>
      </c>
      <c r="D471" s="3" t="s">
        <v>3490</v>
      </c>
      <c r="E471" s="1" t="s">
        <v>1118</v>
      </c>
      <c r="F471" s="1" t="s">
        <v>1425</v>
      </c>
      <c r="G471" s="1" t="s">
        <v>1920</v>
      </c>
      <c r="H471" s="1" t="s">
        <v>704</v>
      </c>
      <c r="I471" s="1" t="s">
        <v>976</v>
      </c>
    </row>
    <row r="472" spans="1:9" x14ac:dyDescent="0.3">
      <c r="A472" s="3">
        <v>471</v>
      </c>
      <c r="B472" s="1" t="s">
        <v>2692</v>
      </c>
      <c r="C472" s="1" t="s">
        <v>457</v>
      </c>
      <c r="D472" s="3" t="s">
        <v>3490</v>
      </c>
      <c r="E472" s="1" t="s">
        <v>1118</v>
      </c>
      <c r="F472" s="1" t="s">
        <v>67</v>
      </c>
      <c r="G472" s="1" t="s">
        <v>1921</v>
      </c>
      <c r="H472" s="1" t="s">
        <v>704</v>
      </c>
      <c r="I472" s="1" t="s">
        <v>977</v>
      </c>
    </row>
    <row r="473" spans="1:9" x14ac:dyDescent="0.3">
      <c r="A473" s="3">
        <v>472</v>
      </c>
      <c r="B473" s="1" t="s">
        <v>2693</v>
      </c>
      <c r="C473" s="1" t="s">
        <v>458</v>
      </c>
      <c r="D473" s="3" t="s">
        <v>3490</v>
      </c>
      <c r="E473" s="1" t="s">
        <v>1113</v>
      </c>
      <c r="F473" s="1" t="s">
        <v>67</v>
      </c>
      <c r="G473" s="1" t="s">
        <v>1922</v>
      </c>
      <c r="H473" s="1" t="s">
        <v>704</v>
      </c>
      <c r="I473" s="1" t="s">
        <v>784</v>
      </c>
    </row>
    <row r="474" spans="1:9" x14ac:dyDescent="0.3">
      <c r="A474" s="3">
        <v>473</v>
      </c>
      <c r="B474" s="1" t="s">
        <v>2694</v>
      </c>
      <c r="C474" s="1" t="s">
        <v>459</v>
      </c>
      <c r="D474" s="3" t="s">
        <v>3490</v>
      </c>
      <c r="E474" s="1" t="s">
        <v>1118</v>
      </c>
      <c r="F474" s="1" t="s">
        <v>1426</v>
      </c>
      <c r="G474" s="1" t="s">
        <v>1121</v>
      </c>
      <c r="H474" s="1" t="s">
        <v>704</v>
      </c>
      <c r="I474" s="1" t="s">
        <v>978</v>
      </c>
    </row>
    <row r="475" spans="1:9" x14ac:dyDescent="0.3">
      <c r="A475" s="3">
        <v>474</v>
      </c>
      <c r="B475" s="1" t="s">
        <v>2695</v>
      </c>
      <c r="C475" s="1" t="s">
        <v>460</v>
      </c>
      <c r="D475" s="3" t="s">
        <v>3490</v>
      </c>
      <c r="E475" s="1" t="s">
        <v>1118</v>
      </c>
      <c r="F475" s="1" t="s">
        <v>1427</v>
      </c>
      <c r="G475" s="1" t="s">
        <v>1923</v>
      </c>
      <c r="H475" s="1" t="s">
        <v>704</v>
      </c>
      <c r="I475" s="1" t="s">
        <v>979</v>
      </c>
    </row>
    <row r="476" spans="1:9" x14ac:dyDescent="0.3">
      <c r="A476" s="3">
        <v>475</v>
      </c>
      <c r="B476" s="1" t="s">
        <v>2696</v>
      </c>
      <c r="C476" s="1" t="s">
        <v>461</v>
      </c>
      <c r="D476" s="3" t="s">
        <v>3490</v>
      </c>
      <c r="E476" s="1" t="s">
        <v>1118</v>
      </c>
      <c r="F476" s="1" t="s">
        <v>1428</v>
      </c>
      <c r="G476" s="1" t="s">
        <v>1924</v>
      </c>
      <c r="H476" s="1" t="s">
        <v>704</v>
      </c>
      <c r="I476" s="1" t="s">
        <v>980</v>
      </c>
    </row>
    <row r="477" spans="1:9" x14ac:dyDescent="0.3">
      <c r="A477" s="3">
        <v>476</v>
      </c>
      <c r="B477" s="1" t="s">
        <v>2697</v>
      </c>
      <c r="C477" s="1" t="s">
        <v>232</v>
      </c>
      <c r="D477" s="3" t="s">
        <v>3490</v>
      </c>
      <c r="E477" s="1" t="s">
        <v>1113</v>
      </c>
      <c r="F477" s="1" t="s">
        <v>1429</v>
      </c>
      <c r="G477" s="1" t="s">
        <v>1925</v>
      </c>
      <c r="H477" s="1" t="s">
        <v>704</v>
      </c>
      <c r="I477" s="1" t="s">
        <v>981</v>
      </c>
    </row>
    <row r="478" spans="1:9" x14ac:dyDescent="0.3">
      <c r="A478" s="3">
        <v>477</v>
      </c>
      <c r="B478" s="1" t="s">
        <v>2698</v>
      </c>
      <c r="C478" s="1" t="s">
        <v>441</v>
      </c>
      <c r="D478" s="3" t="s">
        <v>3490</v>
      </c>
      <c r="E478" s="1" t="s">
        <v>1118</v>
      </c>
      <c r="F478" s="1" t="s">
        <v>1213</v>
      </c>
      <c r="G478" s="1" t="s">
        <v>1926</v>
      </c>
      <c r="H478" s="1" t="s">
        <v>704</v>
      </c>
      <c r="I478" s="1" t="s">
        <v>959</v>
      </c>
    </row>
    <row r="479" spans="1:9" x14ac:dyDescent="0.3">
      <c r="A479" s="3">
        <v>478</v>
      </c>
      <c r="B479" s="1" t="s">
        <v>2699</v>
      </c>
      <c r="C479" s="1" t="s">
        <v>462</v>
      </c>
      <c r="D479" s="3" t="s">
        <v>3490</v>
      </c>
      <c r="E479" s="1" t="s">
        <v>1114</v>
      </c>
      <c r="F479" s="1" t="s">
        <v>1430</v>
      </c>
      <c r="G479" s="1" t="s">
        <v>1927</v>
      </c>
      <c r="H479" s="1" t="s">
        <v>704</v>
      </c>
      <c r="I479" s="1" t="s">
        <v>982</v>
      </c>
    </row>
    <row r="480" spans="1:9" x14ac:dyDescent="0.3">
      <c r="A480" s="3">
        <v>479</v>
      </c>
      <c r="B480" s="1" t="s">
        <v>2700</v>
      </c>
      <c r="C480" s="1" t="s">
        <v>463</v>
      </c>
      <c r="D480" s="3" t="s">
        <v>3489</v>
      </c>
      <c r="E480" s="1" t="s">
        <v>1118</v>
      </c>
      <c r="F480" s="1" t="s">
        <v>1429</v>
      </c>
      <c r="G480" s="1" t="s">
        <v>1928</v>
      </c>
      <c r="H480" s="1" t="s">
        <v>704</v>
      </c>
      <c r="I480" s="1" t="s">
        <v>983</v>
      </c>
    </row>
    <row r="481" spans="1:9" x14ac:dyDescent="0.3">
      <c r="A481" s="3">
        <v>480</v>
      </c>
      <c r="B481" s="1" t="s">
        <v>2701</v>
      </c>
      <c r="C481" s="1" t="s">
        <v>464</v>
      </c>
      <c r="D481" s="3" t="s">
        <v>3490</v>
      </c>
      <c r="E481" s="1" t="s">
        <v>1118</v>
      </c>
      <c r="F481" s="1" t="s">
        <v>1431</v>
      </c>
      <c r="G481" s="1" t="s">
        <v>704</v>
      </c>
      <c r="H481" s="1" t="s">
        <v>704</v>
      </c>
      <c r="I481" s="1" t="s">
        <v>984</v>
      </c>
    </row>
    <row r="482" spans="1:9" x14ac:dyDescent="0.3">
      <c r="A482" s="3">
        <v>481</v>
      </c>
      <c r="B482" s="1" t="s">
        <v>2702</v>
      </c>
      <c r="C482" s="1" t="s">
        <v>465</v>
      </c>
      <c r="D482" s="3" t="s">
        <v>3490</v>
      </c>
      <c r="E482" s="1" t="s">
        <v>1118</v>
      </c>
      <c r="F482" s="1" t="s">
        <v>1186</v>
      </c>
      <c r="G482" s="1" t="s">
        <v>1929</v>
      </c>
      <c r="H482" s="1" t="s">
        <v>704</v>
      </c>
      <c r="I482" s="1" t="s">
        <v>985</v>
      </c>
    </row>
    <row r="483" spans="1:9" x14ac:dyDescent="0.3">
      <c r="A483" s="3">
        <v>482</v>
      </c>
      <c r="B483" s="1" t="s">
        <v>2703</v>
      </c>
      <c r="C483" s="1" t="s">
        <v>466</v>
      </c>
      <c r="D483" s="3" t="s">
        <v>3490</v>
      </c>
      <c r="E483" s="1" t="s">
        <v>1113</v>
      </c>
      <c r="F483" s="1" t="s">
        <v>1432</v>
      </c>
      <c r="G483" s="1" t="s">
        <v>1737</v>
      </c>
      <c r="H483" s="1" t="s">
        <v>704</v>
      </c>
      <c r="I483" s="1" t="s">
        <v>986</v>
      </c>
    </row>
    <row r="484" spans="1:9" x14ac:dyDescent="0.3">
      <c r="A484" s="3">
        <v>483</v>
      </c>
      <c r="B484" s="1" t="s">
        <v>2704</v>
      </c>
      <c r="C484" s="1" t="s">
        <v>467</v>
      </c>
      <c r="D484" s="3" t="s">
        <v>3490</v>
      </c>
      <c r="E484" s="1" t="s">
        <v>1118</v>
      </c>
      <c r="F484" s="1" t="s">
        <v>1433</v>
      </c>
      <c r="G484" s="1" t="s">
        <v>1930</v>
      </c>
      <c r="H484" s="1" t="s">
        <v>704</v>
      </c>
      <c r="I484" s="1" t="s">
        <v>987</v>
      </c>
    </row>
    <row r="485" spans="1:9" x14ac:dyDescent="0.3">
      <c r="A485" s="3">
        <v>484</v>
      </c>
      <c r="B485" s="1" t="s">
        <v>2705</v>
      </c>
      <c r="C485" s="1" t="s">
        <v>468</v>
      </c>
      <c r="D485" s="3" t="s">
        <v>3490</v>
      </c>
      <c r="E485" s="1" t="s">
        <v>1118</v>
      </c>
      <c r="F485" s="1" t="s">
        <v>1434</v>
      </c>
      <c r="G485" s="1" t="s">
        <v>1931</v>
      </c>
      <c r="H485" s="1" t="s">
        <v>704</v>
      </c>
      <c r="I485" s="1" t="s">
        <v>988</v>
      </c>
    </row>
    <row r="486" spans="1:9" x14ac:dyDescent="0.3">
      <c r="A486" s="3">
        <v>485</v>
      </c>
      <c r="B486" s="1" t="s">
        <v>2706</v>
      </c>
      <c r="C486" s="1" t="s">
        <v>469</v>
      </c>
      <c r="D486" s="3" t="s">
        <v>3490</v>
      </c>
      <c r="E486" s="1" t="s">
        <v>1118</v>
      </c>
      <c r="F486" s="1" t="s">
        <v>1435</v>
      </c>
      <c r="G486" s="1" t="s">
        <v>1932</v>
      </c>
      <c r="H486" s="1" t="s">
        <v>704</v>
      </c>
      <c r="I486" s="1" t="s">
        <v>989</v>
      </c>
    </row>
    <row r="487" spans="1:9" x14ac:dyDescent="0.3">
      <c r="A487" s="3">
        <v>486</v>
      </c>
      <c r="B487" s="1" t="s">
        <v>2707</v>
      </c>
      <c r="C487" s="1" t="s">
        <v>470</v>
      </c>
      <c r="D487" s="3" t="s">
        <v>3489</v>
      </c>
      <c r="E487" s="1" t="s">
        <v>1118</v>
      </c>
      <c r="F487" s="1" t="s">
        <v>1436</v>
      </c>
      <c r="G487" s="1" t="s">
        <v>1933</v>
      </c>
      <c r="H487" s="1" t="s">
        <v>704</v>
      </c>
      <c r="I487" s="1" t="s">
        <v>990</v>
      </c>
    </row>
    <row r="488" spans="1:9" x14ac:dyDescent="0.3">
      <c r="A488" s="3">
        <v>487</v>
      </c>
      <c r="B488" s="1" t="s">
        <v>2708</v>
      </c>
      <c r="C488" s="1" t="s">
        <v>471</v>
      </c>
      <c r="D488" s="3" t="s">
        <v>3490</v>
      </c>
      <c r="E488" s="1" t="s">
        <v>1118</v>
      </c>
      <c r="F488" s="1" t="s">
        <v>1437</v>
      </c>
      <c r="G488" s="1" t="s">
        <v>1934</v>
      </c>
      <c r="H488" s="1" t="s">
        <v>704</v>
      </c>
      <c r="I488" s="1" t="s">
        <v>991</v>
      </c>
    </row>
    <row r="489" spans="1:9" x14ac:dyDescent="0.3">
      <c r="A489" s="3">
        <v>488</v>
      </c>
      <c r="B489" s="1" t="s">
        <v>2709</v>
      </c>
      <c r="C489" s="1" t="s">
        <v>472</v>
      </c>
      <c r="D489" s="3" t="s">
        <v>3490</v>
      </c>
      <c r="E489" s="1" t="s">
        <v>1118</v>
      </c>
      <c r="F489" s="1" t="s">
        <v>1438</v>
      </c>
      <c r="G489" s="1" t="s">
        <v>1935</v>
      </c>
      <c r="H489" s="1" t="s">
        <v>704</v>
      </c>
      <c r="I489" s="1" t="s">
        <v>992</v>
      </c>
    </row>
    <row r="490" spans="1:9" x14ac:dyDescent="0.3">
      <c r="A490" s="3">
        <v>489</v>
      </c>
      <c r="B490" s="1" t="s">
        <v>2710</v>
      </c>
      <c r="C490" s="1" t="s">
        <v>473</v>
      </c>
      <c r="D490" s="3" t="s">
        <v>3490</v>
      </c>
      <c r="E490" s="1" t="s">
        <v>1118</v>
      </c>
      <c r="F490" s="1" t="s">
        <v>1198</v>
      </c>
      <c r="G490" s="1" t="s">
        <v>1936</v>
      </c>
      <c r="H490" s="1" t="s">
        <v>704</v>
      </c>
      <c r="I490" s="1" t="s">
        <v>993</v>
      </c>
    </row>
    <row r="491" spans="1:9" x14ac:dyDescent="0.3">
      <c r="A491" s="3">
        <v>490</v>
      </c>
      <c r="B491" s="1" t="s">
        <v>2711</v>
      </c>
      <c r="C491" s="1" t="s">
        <v>474</v>
      </c>
      <c r="D491" s="3" t="s">
        <v>3490</v>
      </c>
      <c r="E491" s="1" t="s">
        <v>1113</v>
      </c>
      <c r="F491" s="1" t="s">
        <v>68</v>
      </c>
      <c r="G491" s="1" t="s">
        <v>1937</v>
      </c>
      <c r="H491" s="1" t="s">
        <v>2088</v>
      </c>
      <c r="I491" s="1" t="s">
        <v>994</v>
      </c>
    </row>
    <row r="492" spans="1:9" x14ac:dyDescent="0.3">
      <c r="A492" s="3">
        <v>491</v>
      </c>
      <c r="B492" s="1" t="s">
        <v>2712</v>
      </c>
      <c r="C492" s="1" t="s">
        <v>296</v>
      </c>
      <c r="D492" s="3" t="s">
        <v>3490</v>
      </c>
      <c r="E492" s="1" t="s">
        <v>1118</v>
      </c>
      <c r="F492" s="1" t="s">
        <v>1307</v>
      </c>
      <c r="G492" s="1" t="s">
        <v>1938</v>
      </c>
      <c r="H492" s="1" t="s">
        <v>704</v>
      </c>
      <c r="I492" s="1" t="s">
        <v>797</v>
      </c>
    </row>
    <row r="493" spans="1:9" x14ac:dyDescent="0.3">
      <c r="A493" s="3">
        <v>492</v>
      </c>
      <c r="B493" s="1" t="s">
        <v>2713</v>
      </c>
      <c r="C493" s="1" t="s">
        <v>475</v>
      </c>
      <c r="D493" s="3" t="s">
        <v>3490</v>
      </c>
      <c r="E493" s="1" t="s">
        <v>1113</v>
      </c>
      <c r="F493" s="1" t="s">
        <v>1439</v>
      </c>
      <c r="G493" s="1" t="s">
        <v>1939</v>
      </c>
      <c r="H493" s="1" t="s">
        <v>704</v>
      </c>
      <c r="I493" s="1" t="s">
        <v>995</v>
      </c>
    </row>
    <row r="494" spans="1:9" x14ac:dyDescent="0.3">
      <c r="A494" s="3">
        <v>493</v>
      </c>
      <c r="B494" s="1" t="s">
        <v>2714</v>
      </c>
      <c r="C494" s="1" t="s">
        <v>476</v>
      </c>
      <c r="D494" s="3" t="s">
        <v>3490</v>
      </c>
      <c r="E494" s="1" t="s">
        <v>1118</v>
      </c>
      <c r="F494" s="1" t="s">
        <v>47</v>
      </c>
      <c r="G494" s="1" t="s">
        <v>1940</v>
      </c>
      <c r="H494" s="1" t="s">
        <v>704</v>
      </c>
      <c r="I494" s="1" t="s">
        <v>634</v>
      </c>
    </row>
    <row r="495" spans="1:9" x14ac:dyDescent="0.3">
      <c r="A495" s="3">
        <v>494</v>
      </c>
      <c r="B495" s="1" t="s">
        <v>2715</v>
      </c>
      <c r="C495" s="1" t="s">
        <v>477</v>
      </c>
      <c r="D495" s="3" t="s">
        <v>3490</v>
      </c>
      <c r="E495" s="1" t="s">
        <v>1118</v>
      </c>
      <c r="F495" s="1" t="s">
        <v>1440</v>
      </c>
      <c r="G495" s="1" t="s">
        <v>1941</v>
      </c>
      <c r="H495" s="1" t="s">
        <v>704</v>
      </c>
      <c r="I495" s="1" t="s">
        <v>996</v>
      </c>
    </row>
    <row r="496" spans="1:9" x14ac:dyDescent="0.3">
      <c r="A496" s="3">
        <v>495</v>
      </c>
      <c r="B496" s="1" t="s">
        <v>2716</v>
      </c>
      <c r="C496" s="1" t="s">
        <v>478</v>
      </c>
      <c r="D496" s="3" t="s">
        <v>3490</v>
      </c>
      <c r="E496" s="1" t="s">
        <v>1118</v>
      </c>
      <c r="F496" s="1" t="s">
        <v>1441</v>
      </c>
      <c r="G496" s="1" t="s">
        <v>1942</v>
      </c>
      <c r="H496" s="1" t="s">
        <v>704</v>
      </c>
      <c r="I496" s="1" t="s">
        <v>997</v>
      </c>
    </row>
    <row r="497" spans="1:9" x14ac:dyDescent="0.3">
      <c r="A497" s="3">
        <v>496</v>
      </c>
      <c r="B497" s="1" t="s">
        <v>2717</v>
      </c>
      <c r="C497" s="1" t="s">
        <v>479</v>
      </c>
      <c r="D497" s="3" t="s">
        <v>3490</v>
      </c>
      <c r="E497" s="1" t="s">
        <v>1114</v>
      </c>
      <c r="F497" s="1" t="s">
        <v>1270</v>
      </c>
      <c r="I497" s="1" t="s">
        <v>998</v>
      </c>
    </row>
    <row r="498" spans="1:9" x14ac:dyDescent="0.3">
      <c r="A498" s="3">
        <v>497</v>
      </c>
      <c r="B498" s="1" t="s">
        <v>2718</v>
      </c>
      <c r="C498" s="1" t="s">
        <v>480</v>
      </c>
      <c r="D498" s="3" t="s">
        <v>3490</v>
      </c>
      <c r="E498" s="1" t="s">
        <v>1114</v>
      </c>
      <c r="F498" s="1" t="s">
        <v>55</v>
      </c>
      <c r="G498" s="1" t="s">
        <v>1850</v>
      </c>
      <c r="H498" s="1" t="s">
        <v>704</v>
      </c>
      <c r="I498" s="1" t="s">
        <v>999</v>
      </c>
    </row>
    <row r="499" spans="1:9" x14ac:dyDescent="0.3">
      <c r="A499" s="3">
        <v>498</v>
      </c>
      <c r="B499" s="1" t="s">
        <v>2719</v>
      </c>
      <c r="C499" s="1" t="s">
        <v>191</v>
      </c>
      <c r="D499" s="3" t="s">
        <v>3490</v>
      </c>
      <c r="E499" s="1" t="s">
        <v>1118</v>
      </c>
      <c r="F499" s="1" t="s">
        <v>1442</v>
      </c>
      <c r="G499" s="1" t="s">
        <v>1943</v>
      </c>
      <c r="H499" s="1" t="s">
        <v>704</v>
      </c>
      <c r="I499" s="1" t="s">
        <v>1000</v>
      </c>
    </row>
    <row r="500" spans="1:9" x14ac:dyDescent="0.3">
      <c r="A500" s="3">
        <v>499</v>
      </c>
      <c r="B500" s="1" t="s">
        <v>2720</v>
      </c>
      <c r="C500" s="1" t="s">
        <v>481</v>
      </c>
      <c r="D500" s="3" t="s">
        <v>3490</v>
      </c>
      <c r="E500" s="1" t="s">
        <v>1118</v>
      </c>
      <c r="F500" s="1" t="s">
        <v>49</v>
      </c>
      <c r="G500" s="1" t="s">
        <v>1944</v>
      </c>
      <c r="H500" s="1" t="s">
        <v>704</v>
      </c>
      <c r="I500" s="1" t="s">
        <v>1001</v>
      </c>
    </row>
    <row r="501" spans="1:9" x14ac:dyDescent="0.3">
      <c r="A501" s="3">
        <v>500</v>
      </c>
      <c r="B501" s="1" t="s">
        <v>2721</v>
      </c>
      <c r="C501" s="1" t="s">
        <v>482</v>
      </c>
      <c r="D501" s="3" t="s">
        <v>3490</v>
      </c>
      <c r="E501" s="1" t="s">
        <v>1113</v>
      </c>
      <c r="F501" s="1" t="s">
        <v>1121</v>
      </c>
      <c r="G501" s="1" t="s">
        <v>1945</v>
      </c>
      <c r="H501" s="1" t="s">
        <v>704</v>
      </c>
      <c r="I501" s="1" t="s">
        <v>1002</v>
      </c>
    </row>
    <row r="502" spans="1:9" x14ac:dyDescent="0.3">
      <c r="A502" s="3">
        <v>501</v>
      </c>
      <c r="B502" s="1" t="s">
        <v>2722</v>
      </c>
      <c r="C502" s="1" t="s">
        <v>483</v>
      </c>
      <c r="D502" s="3" t="s">
        <v>3490</v>
      </c>
      <c r="E502" s="1" t="s">
        <v>1114</v>
      </c>
      <c r="F502" s="1" t="s">
        <v>1443</v>
      </c>
      <c r="G502" s="1" t="s">
        <v>1946</v>
      </c>
      <c r="H502" s="1" t="s">
        <v>704</v>
      </c>
      <c r="I502" s="1" t="s">
        <v>1003</v>
      </c>
    </row>
    <row r="503" spans="1:9" x14ac:dyDescent="0.3">
      <c r="A503" s="3">
        <v>502</v>
      </c>
      <c r="B503" s="1" t="s">
        <v>2723</v>
      </c>
      <c r="C503" s="1" t="s">
        <v>484</v>
      </c>
      <c r="D503" s="3" t="s">
        <v>3490</v>
      </c>
      <c r="E503" s="1" t="s">
        <v>1118</v>
      </c>
      <c r="F503" s="1" t="s">
        <v>1165</v>
      </c>
      <c r="G503" s="1" t="s">
        <v>1947</v>
      </c>
      <c r="H503" s="1" t="s">
        <v>704</v>
      </c>
      <c r="I503" s="1" t="s">
        <v>1004</v>
      </c>
    </row>
    <row r="504" spans="1:9" x14ac:dyDescent="0.3">
      <c r="A504" s="3">
        <v>503</v>
      </c>
      <c r="B504" s="1" t="s">
        <v>2724</v>
      </c>
      <c r="C504" s="1" t="s">
        <v>485</v>
      </c>
      <c r="D504" s="3" t="s">
        <v>3490</v>
      </c>
      <c r="E504" s="1" t="s">
        <v>1118</v>
      </c>
      <c r="F504" s="1" t="s">
        <v>1444</v>
      </c>
      <c r="G504" s="1" t="s">
        <v>1948</v>
      </c>
      <c r="H504" s="1" t="s">
        <v>704</v>
      </c>
      <c r="I504" s="1" t="s">
        <v>1005</v>
      </c>
    </row>
    <row r="505" spans="1:9" x14ac:dyDescent="0.3">
      <c r="A505" s="3">
        <v>504</v>
      </c>
      <c r="B505" s="1" t="s">
        <v>2725</v>
      </c>
      <c r="C505" s="1" t="s">
        <v>486</v>
      </c>
      <c r="D505" s="3" t="s">
        <v>3490</v>
      </c>
      <c r="E505" s="1" t="s">
        <v>1118</v>
      </c>
      <c r="F505" s="1" t="s">
        <v>1445</v>
      </c>
      <c r="G505" s="1" t="s">
        <v>1949</v>
      </c>
      <c r="H505" s="1" t="s">
        <v>704</v>
      </c>
      <c r="I505" s="1" t="s">
        <v>1006</v>
      </c>
    </row>
    <row r="506" spans="1:9" x14ac:dyDescent="0.3">
      <c r="A506" s="3">
        <v>505</v>
      </c>
      <c r="B506" s="1" t="s">
        <v>2726</v>
      </c>
      <c r="C506" s="1" t="s">
        <v>487</v>
      </c>
      <c r="D506" s="3" t="s">
        <v>3490</v>
      </c>
      <c r="E506" s="1" t="s">
        <v>1114</v>
      </c>
      <c r="F506" s="1" t="s">
        <v>1270</v>
      </c>
      <c r="G506" s="1" t="s">
        <v>1950</v>
      </c>
      <c r="H506" s="1" t="s">
        <v>704</v>
      </c>
      <c r="I506" s="1" t="s">
        <v>1007</v>
      </c>
    </row>
    <row r="507" spans="1:9" x14ac:dyDescent="0.3">
      <c r="A507" s="3">
        <v>506</v>
      </c>
      <c r="B507" s="1" t="s">
        <v>2727</v>
      </c>
      <c r="C507" s="1" t="s">
        <v>488</v>
      </c>
      <c r="D507" s="3" t="s">
        <v>3490</v>
      </c>
      <c r="E507" s="1" t="s">
        <v>1118</v>
      </c>
      <c r="F507" s="1" t="s">
        <v>1446</v>
      </c>
      <c r="G507" s="1" t="s">
        <v>1951</v>
      </c>
      <c r="H507" s="1" t="s">
        <v>704</v>
      </c>
      <c r="I507" s="1" t="s">
        <v>1008</v>
      </c>
    </row>
    <row r="508" spans="1:9" x14ac:dyDescent="0.3">
      <c r="A508" s="3">
        <v>507</v>
      </c>
      <c r="B508" s="1" t="s">
        <v>2728</v>
      </c>
      <c r="C508" s="1" t="s">
        <v>489</v>
      </c>
      <c r="D508" s="3" t="s">
        <v>3490</v>
      </c>
      <c r="E508" s="1" t="s">
        <v>1118</v>
      </c>
      <c r="F508" s="1" t="s">
        <v>1447</v>
      </c>
      <c r="G508" s="1" t="s">
        <v>1952</v>
      </c>
      <c r="H508" s="1" t="s">
        <v>704</v>
      </c>
      <c r="I508" s="1" t="s">
        <v>1009</v>
      </c>
    </row>
    <row r="509" spans="1:9" x14ac:dyDescent="0.3">
      <c r="A509" s="3">
        <v>508</v>
      </c>
      <c r="B509" s="1" t="s">
        <v>2729</v>
      </c>
      <c r="C509" s="1" t="s">
        <v>490</v>
      </c>
      <c r="D509" s="3" t="s">
        <v>3490</v>
      </c>
      <c r="E509" s="1" t="s">
        <v>1113</v>
      </c>
      <c r="F509" s="1" t="s">
        <v>1448</v>
      </c>
      <c r="G509" s="1" t="s">
        <v>1953</v>
      </c>
      <c r="H509" s="1" t="s">
        <v>704</v>
      </c>
      <c r="I509" s="1" t="s">
        <v>1010</v>
      </c>
    </row>
    <row r="510" spans="1:9" x14ac:dyDescent="0.3">
      <c r="A510" s="3">
        <v>509</v>
      </c>
      <c r="B510" s="1" t="s">
        <v>2730</v>
      </c>
      <c r="C510" s="1" t="s">
        <v>491</v>
      </c>
      <c r="D510" s="3" t="s">
        <v>3490</v>
      </c>
      <c r="E510" s="1" t="s">
        <v>1118</v>
      </c>
      <c r="F510" s="1" t="s">
        <v>1449</v>
      </c>
      <c r="G510" s="1" t="s">
        <v>1954</v>
      </c>
      <c r="H510" s="1" t="s">
        <v>2086</v>
      </c>
      <c r="I510" s="1" t="s">
        <v>1011</v>
      </c>
    </row>
    <row r="511" spans="1:9" x14ac:dyDescent="0.3">
      <c r="A511" s="3">
        <v>510</v>
      </c>
      <c r="B511" s="1" t="s">
        <v>2731</v>
      </c>
      <c r="C511" s="1" t="s">
        <v>492</v>
      </c>
      <c r="D511" s="3" t="s">
        <v>3490</v>
      </c>
      <c r="E511" s="1" t="s">
        <v>1113</v>
      </c>
      <c r="F511" s="1" t="s">
        <v>1242</v>
      </c>
      <c r="G511" s="1" t="s">
        <v>1955</v>
      </c>
      <c r="H511" s="1" t="s">
        <v>704</v>
      </c>
      <c r="I511" s="1" t="s">
        <v>1012</v>
      </c>
    </row>
    <row r="512" spans="1:9" x14ac:dyDescent="0.3">
      <c r="A512" s="3">
        <v>511</v>
      </c>
      <c r="B512" s="1" t="s">
        <v>2732</v>
      </c>
      <c r="C512" s="1" t="s">
        <v>493</v>
      </c>
      <c r="D512" s="3" t="s">
        <v>3490</v>
      </c>
      <c r="E512" s="1" t="s">
        <v>1118</v>
      </c>
      <c r="F512" s="1" t="s">
        <v>1450</v>
      </c>
      <c r="G512" s="1" t="s">
        <v>1956</v>
      </c>
      <c r="H512" s="1" t="s">
        <v>704</v>
      </c>
      <c r="I512" s="1" t="s">
        <v>1013</v>
      </c>
    </row>
    <row r="513" spans="1:9" x14ac:dyDescent="0.3">
      <c r="A513" s="3">
        <v>512</v>
      </c>
      <c r="B513" s="1" t="s">
        <v>2733</v>
      </c>
      <c r="C513" s="1" t="s">
        <v>494</v>
      </c>
      <c r="D513" s="3" t="s">
        <v>3490</v>
      </c>
      <c r="E513" s="1" t="s">
        <v>1113</v>
      </c>
      <c r="F513" s="1" t="s">
        <v>1186</v>
      </c>
      <c r="G513" s="1" t="s">
        <v>1957</v>
      </c>
      <c r="H513" s="1" t="s">
        <v>704</v>
      </c>
      <c r="I513" s="1" t="s">
        <v>1014</v>
      </c>
    </row>
    <row r="514" spans="1:9" x14ac:dyDescent="0.3">
      <c r="A514" s="3">
        <v>513</v>
      </c>
      <c r="B514" s="1" t="s">
        <v>2734</v>
      </c>
      <c r="C514" s="1" t="s">
        <v>495</v>
      </c>
      <c r="D514" s="3" t="s">
        <v>3490</v>
      </c>
      <c r="E514" s="1" t="s">
        <v>1118</v>
      </c>
      <c r="F514" s="1" t="s">
        <v>1242</v>
      </c>
      <c r="G514" s="1" t="s">
        <v>1958</v>
      </c>
      <c r="H514" s="1" t="s">
        <v>704</v>
      </c>
      <c r="I514" s="1" t="s">
        <v>1015</v>
      </c>
    </row>
    <row r="515" spans="1:9" x14ac:dyDescent="0.3">
      <c r="A515" s="3">
        <v>514</v>
      </c>
      <c r="B515" s="1" t="s">
        <v>2735</v>
      </c>
      <c r="C515" s="1" t="s">
        <v>496</v>
      </c>
      <c r="D515" s="3" t="s">
        <v>3490</v>
      </c>
      <c r="E515" s="1" t="s">
        <v>1118</v>
      </c>
      <c r="F515" s="1" t="s">
        <v>1451</v>
      </c>
      <c r="G515" s="1" t="s">
        <v>1959</v>
      </c>
      <c r="H515" s="1" t="s">
        <v>704</v>
      </c>
      <c r="I515" s="1" t="s">
        <v>1016</v>
      </c>
    </row>
    <row r="516" spans="1:9" x14ac:dyDescent="0.3">
      <c r="A516" s="3">
        <v>515</v>
      </c>
      <c r="B516" s="1" t="s">
        <v>2736</v>
      </c>
      <c r="C516" s="1" t="s">
        <v>497</v>
      </c>
      <c r="D516" s="3" t="s">
        <v>3490</v>
      </c>
      <c r="E516" s="1" t="s">
        <v>1118</v>
      </c>
      <c r="F516" s="1" t="s">
        <v>1186</v>
      </c>
      <c r="G516" s="1" t="s">
        <v>1960</v>
      </c>
      <c r="H516" s="1" t="s">
        <v>704</v>
      </c>
      <c r="I516" s="1" t="s">
        <v>1017</v>
      </c>
    </row>
    <row r="517" spans="1:9" x14ac:dyDescent="0.3">
      <c r="A517" s="3">
        <v>516</v>
      </c>
      <c r="B517" s="1" t="s">
        <v>2737</v>
      </c>
      <c r="C517" s="1" t="s">
        <v>498</v>
      </c>
      <c r="D517" s="3" t="s">
        <v>3490</v>
      </c>
      <c r="E517" s="1" t="s">
        <v>1118</v>
      </c>
      <c r="F517" s="1" t="s">
        <v>1396</v>
      </c>
      <c r="G517" s="1" t="s">
        <v>1961</v>
      </c>
      <c r="H517" s="1" t="s">
        <v>2075</v>
      </c>
      <c r="I517" s="1" t="s">
        <v>1018</v>
      </c>
    </row>
    <row r="518" spans="1:9" x14ac:dyDescent="0.3">
      <c r="A518" s="3">
        <v>517</v>
      </c>
      <c r="B518" s="1" t="s">
        <v>2738</v>
      </c>
      <c r="C518" s="1" t="s">
        <v>499</v>
      </c>
      <c r="D518" s="3" t="s">
        <v>3489</v>
      </c>
      <c r="E518" s="1" t="s">
        <v>1118</v>
      </c>
      <c r="F518" s="1" t="s">
        <v>1398</v>
      </c>
      <c r="G518" s="1" t="s">
        <v>1962</v>
      </c>
      <c r="H518" s="1" t="s">
        <v>704</v>
      </c>
      <c r="I518" s="1" t="s">
        <v>1019</v>
      </c>
    </row>
    <row r="519" spans="1:9" x14ac:dyDescent="0.3">
      <c r="A519" s="3">
        <v>518</v>
      </c>
      <c r="B519" s="1" t="s">
        <v>2739</v>
      </c>
      <c r="C519" s="1" t="s">
        <v>500</v>
      </c>
      <c r="D519" s="3" t="s">
        <v>3490</v>
      </c>
      <c r="E519" s="1" t="s">
        <v>1113</v>
      </c>
      <c r="F519" s="1" t="s">
        <v>68</v>
      </c>
      <c r="G519" s="1" t="s">
        <v>1963</v>
      </c>
      <c r="H519" s="1" t="s">
        <v>704</v>
      </c>
      <c r="I519" s="1" t="s">
        <v>1020</v>
      </c>
    </row>
    <row r="520" spans="1:9" x14ac:dyDescent="0.3">
      <c r="A520" s="3">
        <v>519</v>
      </c>
      <c r="B520" s="1" t="s">
        <v>2740</v>
      </c>
      <c r="C520" s="1" t="s">
        <v>501</v>
      </c>
      <c r="D520" s="3" t="s">
        <v>3490</v>
      </c>
      <c r="E520" s="1" t="s">
        <v>1118</v>
      </c>
      <c r="F520" s="1" t="s">
        <v>1452</v>
      </c>
      <c r="G520" s="1" t="s">
        <v>1964</v>
      </c>
      <c r="H520" s="1" t="s">
        <v>704</v>
      </c>
      <c r="I520" s="1" t="s">
        <v>1021</v>
      </c>
    </row>
    <row r="521" spans="1:9" x14ac:dyDescent="0.3">
      <c r="A521" s="3">
        <v>520</v>
      </c>
      <c r="B521" s="1" t="s">
        <v>2741</v>
      </c>
      <c r="C521" s="1" t="s">
        <v>502</v>
      </c>
      <c r="D521" s="3" t="s">
        <v>3490</v>
      </c>
      <c r="E521" s="1" t="s">
        <v>1113</v>
      </c>
      <c r="F521" s="1" t="s">
        <v>1453</v>
      </c>
      <c r="G521" s="1" t="s">
        <v>1965</v>
      </c>
      <c r="H521" s="1" t="s">
        <v>704</v>
      </c>
      <c r="I521" s="1" t="s">
        <v>761</v>
      </c>
    </row>
    <row r="522" spans="1:9" x14ac:dyDescent="0.3">
      <c r="A522" s="3">
        <v>521</v>
      </c>
      <c r="B522" s="1" t="s">
        <v>2742</v>
      </c>
      <c r="C522" s="1" t="s">
        <v>503</v>
      </c>
      <c r="D522" s="3" t="s">
        <v>3490</v>
      </c>
      <c r="E522" s="1" t="s">
        <v>1113</v>
      </c>
      <c r="F522" s="1" t="s">
        <v>1454</v>
      </c>
      <c r="G522" s="1" t="s">
        <v>1966</v>
      </c>
      <c r="H522" s="1" t="s">
        <v>704</v>
      </c>
      <c r="I522" s="1" t="s">
        <v>1022</v>
      </c>
    </row>
    <row r="523" spans="1:9" x14ac:dyDescent="0.3">
      <c r="A523" s="3">
        <v>522</v>
      </c>
      <c r="B523" s="1" t="s">
        <v>2743</v>
      </c>
      <c r="C523" s="1" t="s">
        <v>504</v>
      </c>
      <c r="D523" s="3" t="s">
        <v>3490</v>
      </c>
      <c r="E523" s="1" t="s">
        <v>1113</v>
      </c>
      <c r="F523" s="1" t="s">
        <v>68</v>
      </c>
      <c r="G523" s="1" t="s">
        <v>1967</v>
      </c>
      <c r="H523" s="1" t="s">
        <v>704</v>
      </c>
      <c r="I523" s="1" t="s">
        <v>706</v>
      </c>
    </row>
    <row r="524" spans="1:9" x14ac:dyDescent="0.3">
      <c r="A524" s="3">
        <v>523</v>
      </c>
      <c r="B524" s="1" t="s">
        <v>2744</v>
      </c>
      <c r="C524" s="1" t="s">
        <v>505</v>
      </c>
      <c r="D524" s="3" t="s">
        <v>3490</v>
      </c>
      <c r="E524" s="1" t="s">
        <v>1113</v>
      </c>
      <c r="F524" s="1" t="s">
        <v>68</v>
      </c>
      <c r="G524" s="1" t="s">
        <v>1968</v>
      </c>
      <c r="H524" s="1" t="s">
        <v>704</v>
      </c>
      <c r="I524" s="1" t="s">
        <v>1023</v>
      </c>
    </row>
    <row r="525" spans="1:9" x14ac:dyDescent="0.3">
      <c r="A525" s="3">
        <v>524</v>
      </c>
      <c r="B525" s="1" t="s">
        <v>2745</v>
      </c>
      <c r="C525" s="1" t="s">
        <v>419</v>
      </c>
      <c r="D525" s="3" t="s">
        <v>3490</v>
      </c>
      <c r="E525" s="1" t="s">
        <v>1118</v>
      </c>
      <c r="F525" s="1" t="s">
        <v>1407</v>
      </c>
      <c r="G525" s="1" t="s">
        <v>1887</v>
      </c>
      <c r="H525" s="1" t="s">
        <v>704</v>
      </c>
      <c r="I525" s="1" t="s">
        <v>938</v>
      </c>
    </row>
    <row r="526" spans="1:9" x14ac:dyDescent="0.3">
      <c r="A526" s="3">
        <v>525</v>
      </c>
      <c r="B526" s="1" t="s">
        <v>2746</v>
      </c>
      <c r="C526" s="1" t="s">
        <v>506</v>
      </c>
      <c r="D526" s="3" t="s">
        <v>3490</v>
      </c>
      <c r="E526" s="1" t="s">
        <v>1118</v>
      </c>
      <c r="F526" s="1" t="s">
        <v>1455</v>
      </c>
      <c r="G526" s="1" t="s">
        <v>1969</v>
      </c>
      <c r="H526" s="1" t="s">
        <v>704</v>
      </c>
      <c r="I526" s="1" t="s">
        <v>1024</v>
      </c>
    </row>
    <row r="527" spans="1:9" x14ac:dyDescent="0.3">
      <c r="A527" s="3">
        <v>526</v>
      </c>
      <c r="B527" s="1" t="s">
        <v>2747</v>
      </c>
      <c r="C527" s="1" t="s">
        <v>507</v>
      </c>
      <c r="D527" s="3" t="s">
        <v>3490</v>
      </c>
      <c r="E527" s="1" t="s">
        <v>1118</v>
      </c>
      <c r="F527" s="1" t="s">
        <v>68</v>
      </c>
      <c r="G527" s="1" t="s">
        <v>1970</v>
      </c>
      <c r="H527" s="1" t="s">
        <v>704</v>
      </c>
      <c r="I527" s="1" t="s">
        <v>1025</v>
      </c>
    </row>
    <row r="528" spans="1:9" x14ac:dyDescent="0.3">
      <c r="A528" s="3">
        <v>527</v>
      </c>
      <c r="B528" s="1" t="s">
        <v>2748</v>
      </c>
      <c r="C528" s="1" t="s">
        <v>508</v>
      </c>
      <c r="D528" s="3" t="s">
        <v>3490</v>
      </c>
      <c r="E528" s="1" t="s">
        <v>1118</v>
      </c>
      <c r="F528" s="1" t="s">
        <v>1456</v>
      </c>
      <c r="G528" s="1" t="s">
        <v>1971</v>
      </c>
      <c r="H528" s="1" t="s">
        <v>704</v>
      </c>
      <c r="I528" s="1" t="s">
        <v>1026</v>
      </c>
    </row>
    <row r="529" spans="1:9" x14ac:dyDescent="0.3">
      <c r="A529" s="3">
        <v>528</v>
      </c>
      <c r="B529" s="1" t="s">
        <v>2749</v>
      </c>
      <c r="C529" s="1" t="s">
        <v>2217</v>
      </c>
      <c r="D529" s="3" t="s">
        <v>3489</v>
      </c>
      <c r="E529" s="1" t="s">
        <v>1118</v>
      </c>
      <c r="F529" s="1" t="s">
        <v>1457</v>
      </c>
      <c r="G529" s="1" t="s">
        <v>1972</v>
      </c>
      <c r="H529" s="1" t="s">
        <v>704</v>
      </c>
      <c r="I529" s="1" t="s">
        <v>1027</v>
      </c>
    </row>
    <row r="530" spans="1:9" x14ac:dyDescent="0.3">
      <c r="A530" s="3">
        <v>529</v>
      </c>
      <c r="B530" s="1" t="s">
        <v>2750</v>
      </c>
      <c r="C530" s="1" t="s">
        <v>509</v>
      </c>
      <c r="D530" s="3" t="s">
        <v>3489</v>
      </c>
      <c r="E530" s="1" t="s">
        <v>1118</v>
      </c>
      <c r="F530" s="1" t="s">
        <v>1186</v>
      </c>
      <c r="G530" s="1" t="s">
        <v>1973</v>
      </c>
      <c r="H530" s="1" t="s">
        <v>704</v>
      </c>
      <c r="I530" s="1" t="s">
        <v>1028</v>
      </c>
    </row>
    <row r="531" spans="1:9" x14ac:dyDescent="0.3">
      <c r="A531" s="3">
        <v>530</v>
      </c>
      <c r="B531" s="1" t="s">
        <v>2751</v>
      </c>
      <c r="C531" s="1" t="s">
        <v>510</v>
      </c>
      <c r="D531" s="3" t="s">
        <v>3490</v>
      </c>
      <c r="E531" s="1" t="s">
        <v>1113</v>
      </c>
      <c r="F531" s="1" t="s">
        <v>1458</v>
      </c>
      <c r="G531" s="1" t="s">
        <v>1974</v>
      </c>
      <c r="H531" s="1" t="s">
        <v>704</v>
      </c>
      <c r="I531" s="1" t="s">
        <v>1029</v>
      </c>
    </row>
    <row r="532" spans="1:9" x14ac:dyDescent="0.3">
      <c r="A532" s="3">
        <v>531</v>
      </c>
      <c r="B532" s="1" t="s">
        <v>2752</v>
      </c>
      <c r="C532" s="1" t="s">
        <v>511</v>
      </c>
      <c r="D532" s="3" t="s">
        <v>3490</v>
      </c>
      <c r="E532" s="1" t="s">
        <v>1118</v>
      </c>
      <c r="F532" s="1" t="s">
        <v>1323</v>
      </c>
      <c r="G532" s="1" t="s">
        <v>1783</v>
      </c>
      <c r="H532" s="1" t="s">
        <v>704</v>
      </c>
      <c r="I532" s="1" t="s">
        <v>813</v>
      </c>
    </row>
    <row r="533" spans="1:9" x14ac:dyDescent="0.3">
      <c r="A533" s="3">
        <v>532</v>
      </c>
      <c r="B533" s="1" t="s">
        <v>2753</v>
      </c>
      <c r="C533" s="1" t="s">
        <v>512</v>
      </c>
      <c r="D533" s="3" t="s">
        <v>3490</v>
      </c>
      <c r="E533" s="1" t="s">
        <v>1113</v>
      </c>
      <c r="F533" s="1" t="s">
        <v>1459</v>
      </c>
      <c r="G533" s="1" t="s">
        <v>1975</v>
      </c>
      <c r="H533" s="1" t="s">
        <v>704</v>
      </c>
      <c r="I533" s="1" t="s">
        <v>1030</v>
      </c>
    </row>
    <row r="534" spans="1:9" x14ac:dyDescent="0.3">
      <c r="A534" s="3">
        <v>533</v>
      </c>
      <c r="B534" s="1" t="s">
        <v>2754</v>
      </c>
      <c r="C534" s="1" t="s">
        <v>191</v>
      </c>
      <c r="D534" s="3" t="s">
        <v>3490</v>
      </c>
      <c r="E534" s="1" t="s">
        <v>1118</v>
      </c>
      <c r="F534" s="1" t="s">
        <v>68</v>
      </c>
      <c r="G534" s="1" t="s">
        <v>1943</v>
      </c>
      <c r="H534" s="1" t="s">
        <v>2088</v>
      </c>
      <c r="I534" s="1" t="s">
        <v>1000</v>
      </c>
    </row>
    <row r="535" spans="1:9" x14ac:dyDescent="0.3">
      <c r="A535" s="3">
        <v>534</v>
      </c>
      <c r="B535" s="1" t="s">
        <v>2755</v>
      </c>
      <c r="C535" s="1" t="s">
        <v>513</v>
      </c>
      <c r="D535" s="3" t="s">
        <v>3489</v>
      </c>
      <c r="E535" s="1" t="s">
        <v>1118</v>
      </c>
      <c r="F535" s="1" t="s">
        <v>1392</v>
      </c>
      <c r="G535" s="1" t="s">
        <v>1976</v>
      </c>
      <c r="H535" s="1" t="s">
        <v>2075</v>
      </c>
      <c r="I535" s="1" t="s">
        <v>1031</v>
      </c>
    </row>
    <row r="536" spans="1:9" x14ac:dyDescent="0.3">
      <c r="A536" s="3">
        <v>535</v>
      </c>
      <c r="B536" s="1" t="s">
        <v>2756</v>
      </c>
      <c r="C536" s="1" t="s">
        <v>514</v>
      </c>
      <c r="D536" s="3" t="s">
        <v>3490</v>
      </c>
      <c r="E536" s="1" t="s">
        <v>1118</v>
      </c>
      <c r="F536" s="1" t="s">
        <v>1392</v>
      </c>
      <c r="G536" s="1" t="s">
        <v>1977</v>
      </c>
      <c r="H536" s="1" t="s">
        <v>704</v>
      </c>
      <c r="I536" s="1" t="s">
        <v>1032</v>
      </c>
    </row>
    <row r="537" spans="1:9" x14ac:dyDescent="0.3">
      <c r="A537" s="3">
        <v>536</v>
      </c>
      <c r="B537" s="1" t="s">
        <v>2757</v>
      </c>
      <c r="C537" s="1" t="s">
        <v>515</v>
      </c>
      <c r="D537" s="3" t="s">
        <v>3489</v>
      </c>
      <c r="E537" s="1" t="s">
        <v>1118</v>
      </c>
      <c r="F537" s="1" t="s">
        <v>1460</v>
      </c>
      <c r="G537" s="1" t="s">
        <v>1978</v>
      </c>
      <c r="H537" s="1" t="s">
        <v>704</v>
      </c>
      <c r="I537" s="1" t="s">
        <v>1033</v>
      </c>
    </row>
    <row r="538" spans="1:9" x14ac:dyDescent="0.3">
      <c r="A538" s="3">
        <v>537</v>
      </c>
      <c r="B538" s="1" t="s">
        <v>2758</v>
      </c>
      <c r="C538" s="1" t="s">
        <v>516</v>
      </c>
      <c r="D538" s="3" t="s">
        <v>3490</v>
      </c>
      <c r="E538" s="1" t="s">
        <v>1118</v>
      </c>
      <c r="F538" s="1" t="s">
        <v>1461</v>
      </c>
      <c r="G538" s="1" t="s">
        <v>1979</v>
      </c>
      <c r="H538" s="1" t="s">
        <v>704</v>
      </c>
      <c r="I538" s="1" t="s">
        <v>1034</v>
      </c>
    </row>
    <row r="539" spans="1:9" x14ac:dyDescent="0.3">
      <c r="A539" s="3">
        <v>538</v>
      </c>
      <c r="B539" s="1" t="s">
        <v>2759</v>
      </c>
      <c r="C539" s="1" t="s">
        <v>517</v>
      </c>
      <c r="D539" s="3" t="s">
        <v>3489</v>
      </c>
      <c r="E539" s="1" t="s">
        <v>1118</v>
      </c>
      <c r="F539" s="1" t="s">
        <v>1462</v>
      </c>
      <c r="G539" s="1" t="s">
        <v>1980</v>
      </c>
      <c r="H539" s="1" t="s">
        <v>704</v>
      </c>
      <c r="I539" s="1" t="s">
        <v>1035</v>
      </c>
    </row>
    <row r="540" spans="1:9" x14ac:dyDescent="0.3">
      <c r="A540" s="3">
        <v>539</v>
      </c>
      <c r="B540" s="1" t="s">
        <v>2760</v>
      </c>
      <c r="C540" s="1" t="s">
        <v>518</v>
      </c>
      <c r="D540" s="3" t="s">
        <v>3490</v>
      </c>
      <c r="E540" s="1" t="s">
        <v>1118</v>
      </c>
      <c r="F540" s="1" t="s">
        <v>1213</v>
      </c>
      <c r="G540" s="1" t="s">
        <v>1981</v>
      </c>
      <c r="H540" s="1" t="s">
        <v>704</v>
      </c>
      <c r="I540" s="1" t="s">
        <v>1036</v>
      </c>
    </row>
    <row r="541" spans="1:9" x14ac:dyDescent="0.3">
      <c r="A541" s="3">
        <v>540</v>
      </c>
      <c r="B541" s="1" t="s">
        <v>2761</v>
      </c>
      <c r="C541" s="1" t="s">
        <v>519</v>
      </c>
      <c r="D541" s="3" t="s">
        <v>3490</v>
      </c>
      <c r="E541" s="1" t="s">
        <v>1118</v>
      </c>
      <c r="F541" s="1" t="s">
        <v>1463</v>
      </c>
      <c r="G541" s="1" t="s">
        <v>1982</v>
      </c>
      <c r="H541" s="1" t="s">
        <v>2085</v>
      </c>
      <c r="I541" s="1" t="s">
        <v>1037</v>
      </c>
    </row>
    <row r="542" spans="1:9" x14ac:dyDescent="0.3">
      <c r="A542" s="3">
        <v>541</v>
      </c>
      <c r="B542" s="1" t="s">
        <v>2762</v>
      </c>
      <c r="C542" s="1" t="s">
        <v>520</v>
      </c>
      <c r="D542" s="3" t="s">
        <v>3490</v>
      </c>
      <c r="E542" s="1" t="s">
        <v>1118</v>
      </c>
      <c r="F542" s="1" t="s">
        <v>68</v>
      </c>
      <c r="G542" s="1" t="s">
        <v>1983</v>
      </c>
      <c r="H542" s="1" t="s">
        <v>704</v>
      </c>
      <c r="I542" s="1" t="s">
        <v>1038</v>
      </c>
    </row>
    <row r="543" spans="1:9" x14ac:dyDescent="0.3">
      <c r="A543" s="3">
        <v>542</v>
      </c>
      <c r="B543" s="1" t="s">
        <v>2763</v>
      </c>
      <c r="C543" s="1" t="s">
        <v>521</v>
      </c>
      <c r="D543" s="3" t="s">
        <v>3490</v>
      </c>
      <c r="E543" s="1" t="s">
        <v>1118</v>
      </c>
      <c r="F543" s="1" t="s">
        <v>1464</v>
      </c>
      <c r="G543" s="1" t="s">
        <v>1984</v>
      </c>
      <c r="H543" s="1" t="s">
        <v>704</v>
      </c>
      <c r="I543" s="1" t="s">
        <v>1039</v>
      </c>
    </row>
    <row r="544" spans="1:9" x14ac:dyDescent="0.3">
      <c r="A544" s="3">
        <v>543</v>
      </c>
      <c r="B544" s="1" t="s">
        <v>2764</v>
      </c>
      <c r="C544" s="1" t="s">
        <v>522</v>
      </c>
      <c r="D544" s="3" t="s">
        <v>3490</v>
      </c>
      <c r="E544" s="1" t="s">
        <v>1118</v>
      </c>
      <c r="F544" s="1" t="s">
        <v>1465</v>
      </c>
      <c r="G544" s="1" t="s">
        <v>1985</v>
      </c>
      <c r="H544" s="1" t="s">
        <v>2086</v>
      </c>
      <c r="I544" s="1" t="s">
        <v>1040</v>
      </c>
    </row>
    <row r="545" spans="1:9" x14ac:dyDescent="0.3">
      <c r="A545" s="3">
        <v>544</v>
      </c>
      <c r="B545" s="1" t="s">
        <v>2765</v>
      </c>
      <c r="C545" s="1" t="s">
        <v>523</v>
      </c>
      <c r="D545" s="3" t="s">
        <v>3490</v>
      </c>
      <c r="E545" s="1" t="s">
        <v>1118</v>
      </c>
      <c r="F545" s="1" t="s">
        <v>47</v>
      </c>
      <c r="G545" s="1" t="s">
        <v>1986</v>
      </c>
      <c r="H545" s="1" t="s">
        <v>704</v>
      </c>
      <c r="I545" s="1" t="s">
        <v>1041</v>
      </c>
    </row>
    <row r="546" spans="1:9" x14ac:dyDescent="0.3">
      <c r="A546" s="3">
        <v>545</v>
      </c>
      <c r="B546" s="1" t="s">
        <v>2766</v>
      </c>
      <c r="C546" s="1" t="s">
        <v>524</v>
      </c>
      <c r="D546" s="3" t="s">
        <v>3490</v>
      </c>
      <c r="E546" s="1" t="s">
        <v>1113</v>
      </c>
      <c r="F546" s="1" t="s">
        <v>1466</v>
      </c>
      <c r="G546" s="1" t="s">
        <v>1987</v>
      </c>
      <c r="H546" s="1" t="s">
        <v>704</v>
      </c>
      <c r="I546" s="1" t="s">
        <v>1042</v>
      </c>
    </row>
    <row r="547" spans="1:9" x14ac:dyDescent="0.3">
      <c r="A547" s="3">
        <v>546</v>
      </c>
      <c r="B547" s="1" t="s">
        <v>2767</v>
      </c>
      <c r="C547" s="1" t="s">
        <v>525</v>
      </c>
      <c r="D547" s="3" t="s">
        <v>3490</v>
      </c>
      <c r="E547" s="1" t="s">
        <v>1118</v>
      </c>
      <c r="F547" s="1" t="s">
        <v>1467</v>
      </c>
      <c r="G547" s="1" t="s">
        <v>1988</v>
      </c>
      <c r="H547" s="1" t="s">
        <v>2088</v>
      </c>
      <c r="I547" s="1" t="s">
        <v>1043</v>
      </c>
    </row>
    <row r="548" spans="1:9" x14ac:dyDescent="0.3">
      <c r="A548" s="3">
        <v>547</v>
      </c>
      <c r="B548" s="1" t="s">
        <v>2768</v>
      </c>
      <c r="C548" s="1" t="s">
        <v>526</v>
      </c>
      <c r="D548" s="3" t="s">
        <v>3489</v>
      </c>
      <c r="E548" s="1" t="s">
        <v>1118</v>
      </c>
      <c r="F548" s="1" t="s">
        <v>33</v>
      </c>
      <c r="G548" s="1" t="s">
        <v>1989</v>
      </c>
      <c r="H548" s="1" t="s">
        <v>704</v>
      </c>
      <c r="I548" s="1" t="s">
        <v>1044</v>
      </c>
    </row>
    <row r="549" spans="1:9" x14ac:dyDescent="0.3">
      <c r="A549" s="3">
        <v>548</v>
      </c>
      <c r="B549" s="1" t="s">
        <v>2769</v>
      </c>
      <c r="C549" s="1" t="s">
        <v>527</v>
      </c>
      <c r="D549" s="3" t="s">
        <v>3490</v>
      </c>
      <c r="E549" s="1" t="s">
        <v>1118</v>
      </c>
      <c r="F549" s="1" t="s">
        <v>28</v>
      </c>
      <c r="G549" s="1" t="s">
        <v>1990</v>
      </c>
      <c r="H549" s="1" t="s">
        <v>704</v>
      </c>
      <c r="I549" s="1" t="s">
        <v>1045</v>
      </c>
    </row>
    <row r="550" spans="1:9" x14ac:dyDescent="0.3">
      <c r="A550" s="3">
        <v>549</v>
      </c>
      <c r="B550" s="1" t="s">
        <v>2770</v>
      </c>
      <c r="C550" s="1" t="s">
        <v>509</v>
      </c>
      <c r="D550" s="3" t="s">
        <v>3490</v>
      </c>
      <c r="E550" s="1" t="s">
        <v>1118</v>
      </c>
      <c r="F550" s="1" t="s">
        <v>1186</v>
      </c>
      <c r="G550" s="1" t="s">
        <v>1973</v>
      </c>
      <c r="H550" s="1" t="s">
        <v>704</v>
      </c>
      <c r="I550" s="1" t="s">
        <v>1028</v>
      </c>
    </row>
    <row r="551" spans="1:9" x14ac:dyDescent="0.3">
      <c r="A551" s="3">
        <v>550</v>
      </c>
      <c r="B551" s="1" t="s">
        <v>2771</v>
      </c>
      <c r="C551" s="1" t="s">
        <v>528</v>
      </c>
      <c r="D551" s="3" t="s">
        <v>3490</v>
      </c>
      <c r="E551" s="1" t="s">
        <v>1118</v>
      </c>
      <c r="F551" s="1" t="s">
        <v>1468</v>
      </c>
      <c r="G551" s="1" t="s">
        <v>1991</v>
      </c>
      <c r="H551" s="1" t="s">
        <v>704</v>
      </c>
      <c r="I551" s="1" t="s">
        <v>1046</v>
      </c>
    </row>
    <row r="552" spans="1:9" x14ac:dyDescent="0.3">
      <c r="A552" s="3">
        <v>551</v>
      </c>
      <c r="B552" s="1" t="s">
        <v>2772</v>
      </c>
      <c r="C552" s="1" t="s">
        <v>2218</v>
      </c>
      <c r="D552" s="3" t="s">
        <v>3490</v>
      </c>
      <c r="E552" s="1" t="s">
        <v>1118</v>
      </c>
      <c r="F552" s="1" t="s">
        <v>1469</v>
      </c>
      <c r="G552" s="1" t="s">
        <v>1992</v>
      </c>
      <c r="H552" s="1" t="s">
        <v>704</v>
      </c>
      <c r="I552" s="1" t="s">
        <v>1047</v>
      </c>
    </row>
    <row r="553" spans="1:9" x14ac:dyDescent="0.3">
      <c r="A553" s="3">
        <v>552</v>
      </c>
      <c r="B553" s="1" t="s">
        <v>2773</v>
      </c>
      <c r="C553" s="1" t="s">
        <v>465</v>
      </c>
      <c r="D553" s="3" t="s">
        <v>3490</v>
      </c>
      <c r="E553" s="1" t="s">
        <v>1118</v>
      </c>
      <c r="F553" s="1" t="s">
        <v>1470</v>
      </c>
      <c r="G553" s="1" t="s">
        <v>1993</v>
      </c>
      <c r="H553" s="1" t="s">
        <v>704</v>
      </c>
      <c r="I553" s="1" t="s">
        <v>985</v>
      </c>
    </row>
    <row r="554" spans="1:9" x14ac:dyDescent="0.3">
      <c r="A554" s="3">
        <v>553</v>
      </c>
      <c r="B554" s="1" t="s">
        <v>2774</v>
      </c>
      <c r="C554" s="1" t="s">
        <v>529</v>
      </c>
      <c r="D554" s="3" t="s">
        <v>3490</v>
      </c>
      <c r="E554" s="1" t="s">
        <v>1118</v>
      </c>
      <c r="F554" s="1" t="s">
        <v>1385</v>
      </c>
      <c r="G554" s="1" t="s">
        <v>1858</v>
      </c>
      <c r="H554" s="1" t="s">
        <v>704</v>
      </c>
      <c r="I554" s="1" t="s">
        <v>1048</v>
      </c>
    </row>
    <row r="555" spans="1:9" x14ac:dyDescent="0.3">
      <c r="A555" s="3">
        <v>554</v>
      </c>
      <c r="B555" s="1" t="s">
        <v>2775</v>
      </c>
      <c r="C555" s="1" t="s">
        <v>530</v>
      </c>
      <c r="D555" s="3" t="s">
        <v>3490</v>
      </c>
      <c r="E555" s="1" t="s">
        <v>1118</v>
      </c>
      <c r="F555" s="1" t="s">
        <v>1471</v>
      </c>
      <c r="G555" s="1" t="s">
        <v>1723</v>
      </c>
      <c r="H555" s="1" t="s">
        <v>704</v>
      </c>
      <c r="I555" s="1" t="s">
        <v>1049</v>
      </c>
    </row>
    <row r="556" spans="1:9" x14ac:dyDescent="0.3">
      <c r="A556" s="3">
        <v>555</v>
      </c>
      <c r="B556" s="1" t="s">
        <v>2776</v>
      </c>
      <c r="C556" s="1" t="s">
        <v>531</v>
      </c>
      <c r="D556" s="3" t="s">
        <v>3489</v>
      </c>
      <c r="E556" s="1" t="s">
        <v>1118</v>
      </c>
      <c r="F556" s="1" t="s">
        <v>1472</v>
      </c>
      <c r="G556" s="1" t="s">
        <v>1994</v>
      </c>
      <c r="H556" s="1" t="s">
        <v>704</v>
      </c>
      <c r="I556" s="1" t="s">
        <v>1050</v>
      </c>
    </row>
    <row r="557" spans="1:9" x14ac:dyDescent="0.3">
      <c r="A557" s="3">
        <v>556</v>
      </c>
      <c r="B557" s="1" t="s">
        <v>2777</v>
      </c>
      <c r="C557" s="1" t="s">
        <v>532</v>
      </c>
      <c r="D557" s="3" t="s">
        <v>3490</v>
      </c>
      <c r="E557" s="1" t="s">
        <v>1118</v>
      </c>
      <c r="F557" s="1" t="s">
        <v>1473</v>
      </c>
      <c r="G557" s="1" t="s">
        <v>1995</v>
      </c>
      <c r="H557" s="1" t="s">
        <v>704</v>
      </c>
      <c r="I557" s="1" t="s">
        <v>1051</v>
      </c>
    </row>
    <row r="558" spans="1:9" x14ac:dyDescent="0.3">
      <c r="A558" s="3">
        <v>557</v>
      </c>
      <c r="B558" s="1" t="s">
        <v>2778</v>
      </c>
      <c r="C558" s="1" t="s">
        <v>533</v>
      </c>
      <c r="D558" s="3" t="s">
        <v>3490</v>
      </c>
      <c r="E558" s="1" t="s">
        <v>1118</v>
      </c>
      <c r="F558" s="1" t="s">
        <v>1474</v>
      </c>
      <c r="G558" s="1" t="s">
        <v>1901</v>
      </c>
      <c r="H558" s="1" t="s">
        <v>704</v>
      </c>
      <c r="I558" s="1" t="s">
        <v>1052</v>
      </c>
    </row>
    <row r="559" spans="1:9" x14ac:dyDescent="0.3">
      <c r="A559" s="3">
        <v>558</v>
      </c>
      <c r="B559" s="1" t="s">
        <v>2779</v>
      </c>
      <c r="C559" s="1" t="s">
        <v>534</v>
      </c>
      <c r="D559" s="3" t="s">
        <v>3489</v>
      </c>
      <c r="E559" s="1" t="s">
        <v>1118</v>
      </c>
      <c r="F559" s="1" t="s">
        <v>1475</v>
      </c>
      <c r="G559" s="1" t="s">
        <v>1996</v>
      </c>
      <c r="H559" s="1" t="s">
        <v>704</v>
      </c>
      <c r="I559" s="1" t="s">
        <v>1053</v>
      </c>
    </row>
    <row r="560" spans="1:9" x14ac:dyDescent="0.3">
      <c r="A560" s="3">
        <v>559</v>
      </c>
      <c r="B560" s="1" t="s">
        <v>2780</v>
      </c>
      <c r="C560" s="1" t="s">
        <v>535</v>
      </c>
      <c r="D560" s="3" t="s">
        <v>3489</v>
      </c>
      <c r="E560" s="1" t="s">
        <v>1118</v>
      </c>
      <c r="F560" s="1" t="s">
        <v>1137</v>
      </c>
      <c r="G560" s="1" t="s">
        <v>1997</v>
      </c>
      <c r="H560" s="1" t="s">
        <v>704</v>
      </c>
      <c r="I560" s="1" t="s">
        <v>1054</v>
      </c>
    </row>
    <row r="561" spans="1:9" x14ac:dyDescent="0.3">
      <c r="A561" s="3">
        <v>560</v>
      </c>
      <c r="B561" s="1" t="s">
        <v>2781</v>
      </c>
      <c r="C561" s="1" t="s">
        <v>536</v>
      </c>
      <c r="D561" s="3" t="s">
        <v>3490</v>
      </c>
      <c r="E561" s="1" t="s">
        <v>1118</v>
      </c>
      <c r="F561" s="1" t="s">
        <v>1476</v>
      </c>
      <c r="G561" s="1" t="s">
        <v>1998</v>
      </c>
      <c r="H561" s="1" t="s">
        <v>704</v>
      </c>
      <c r="I561" s="1" t="s">
        <v>1055</v>
      </c>
    </row>
    <row r="562" spans="1:9" x14ac:dyDescent="0.3">
      <c r="A562" s="3">
        <v>561</v>
      </c>
      <c r="B562" s="1" t="s">
        <v>2782</v>
      </c>
      <c r="C562" s="1" t="s">
        <v>537</v>
      </c>
      <c r="D562" s="3" t="s">
        <v>3489</v>
      </c>
      <c r="E562" s="1" t="s">
        <v>1118</v>
      </c>
      <c r="F562" s="1" t="s">
        <v>1477</v>
      </c>
      <c r="G562" s="1" t="s">
        <v>1999</v>
      </c>
      <c r="H562" s="1" t="s">
        <v>704</v>
      </c>
      <c r="I562" s="1" t="s">
        <v>1056</v>
      </c>
    </row>
    <row r="563" spans="1:9" x14ac:dyDescent="0.3">
      <c r="A563" s="3">
        <v>562</v>
      </c>
      <c r="B563" s="1" t="s">
        <v>2783</v>
      </c>
      <c r="C563" s="1" t="s">
        <v>538</v>
      </c>
      <c r="D563" s="3" t="s">
        <v>3490</v>
      </c>
      <c r="E563" s="1" t="s">
        <v>1113</v>
      </c>
      <c r="F563" s="1" t="s">
        <v>1478</v>
      </c>
      <c r="G563" s="1" t="s">
        <v>2000</v>
      </c>
      <c r="H563" s="1" t="s">
        <v>704</v>
      </c>
      <c r="I563" s="1" t="s">
        <v>1057</v>
      </c>
    </row>
    <row r="564" spans="1:9" x14ac:dyDescent="0.3">
      <c r="A564" s="3">
        <v>563</v>
      </c>
      <c r="B564" s="1" t="s">
        <v>2784</v>
      </c>
      <c r="C564" s="1" t="s">
        <v>539</v>
      </c>
      <c r="D564" s="3" t="s">
        <v>3490</v>
      </c>
      <c r="E564" s="1" t="s">
        <v>1118</v>
      </c>
      <c r="F564" s="1" t="s">
        <v>1479</v>
      </c>
      <c r="G564" s="1" t="s">
        <v>2001</v>
      </c>
      <c r="H564" s="1" t="s">
        <v>704</v>
      </c>
      <c r="I564" s="1" t="s">
        <v>1058</v>
      </c>
    </row>
    <row r="565" spans="1:9" x14ac:dyDescent="0.3">
      <c r="A565" s="3">
        <v>564</v>
      </c>
      <c r="B565" s="1" t="s">
        <v>2785</v>
      </c>
      <c r="C565" s="1" t="s">
        <v>540</v>
      </c>
      <c r="D565" s="3" t="s">
        <v>3490</v>
      </c>
      <c r="E565" s="1" t="s">
        <v>1118</v>
      </c>
      <c r="F565" s="1" t="s">
        <v>1480</v>
      </c>
      <c r="G565" s="1" t="s">
        <v>704</v>
      </c>
      <c r="H565" s="1" t="s">
        <v>704</v>
      </c>
      <c r="I565" s="1" t="s">
        <v>1059</v>
      </c>
    </row>
    <row r="566" spans="1:9" x14ac:dyDescent="0.3">
      <c r="A566" s="3">
        <v>565</v>
      </c>
      <c r="B566" s="1" t="s">
        <v>2786</v>
      </c>
      <c r="C566" s="1" t="s">
        <v>541</v>
      </c>
      <c r="D566" s="3" t="s">
        <v>3489</v>
      </c>
      <c r="E566" s="1" t="s">
        <v>1118</v>
      </c>
      <c r="F566" s="1" t="s">
        <v>1481</v>
      </c>
      <c r="G566" s="1" t="s">
        <v>2002</v>
      </c>
      <c r="H566" s="1" t="s">
        <v>2088</v>
      </c>
      <c r="I566" s="1" t="s">
        <v>1060</v>
      </c>
    </row>
    <row r="567" spans="1:9" x14ac:dyDescent="0.3">
      <c r="A567" s="3">
        <v>566</v>
      </c>
      <c r="B567" s="1" t="s">
        <v>2787</v>
      </c>
      <c r="C567" s="1" t="s">
        <v>542</v>
      </c>
      <c r="D567" s="3" t="s">
        <v>3490</v>
      </c>
      <c r="E567" s="1" t="s">
        <v>1118</v>
      </c>
      <c r="F567" s="1" t="s">
        <v>1482</v>
      </c>
      <c r="G567" s="1" t="s">
        <v>2003</v>
      </c>
      <c r="H567" s="1" t="s">
        <v>704</v>
      </c>
      <c r="I567" s="1" t="s">
        <v>1061</v>
      </c>
    </row>
    <row r="568" spans="1:9" x14ac:dyDescent="0.3">
      <c r="A568" s="3">
        <v>567</v>
      </c>
      <c r="B568" s="1" t="s">
        <v>2788</v>
      </c>
      <c r="C568" s="1" t="s">
        <v>543</v>
      </c>
      <c r="D568" s="3" t="s">
        <v>3490</v>
      </c>
      <c r="E568" s="1" t="s">
        <v>1118</v>
      </c>
      <c r="F568" s="1" t="s">
        <v>65</v>
      </c>
      <c r="G568" s="1" t="s">
        <v>2004</v>
      </c>
      <c r="H568" s="1" t="s">
        <v>704</v>
      </c>
      <c r="I568" s="1" t="s">
        <v>1062</v>
      </c>
    </row>
    <row r="569" spans="1:9" x14ac:dyDescent="0.3">
      <c r="A569" s="3">
        <v>568</v>
      </c>
      <c r="B569" s="1" t="s">
        <v>2789</v>
      </c>
      <c r="C569" s="1" t="s">
        <v>544</v>
      </c>
      <c r="D569" s="3" t="s">
        <v>3490</v>
      </c>
      <c r="E569" s="1" t="s">
        <v>1118</v>
      </c>
      <c r="F569" s="1" t="s">
        <v>1121</v>
      </c>
      <c r="G569" s="1" t="s">
        <v>2005</v>
      </c>
      <c r="H569" s="1" t="s">
        <v>2066</v>
      </c>
      <c r="I569" s="1" t="s">
        <v>1063</v>
      </c>
    </row>
    <row r="570" spans="1:9" x14ac:dyDescent="0.3">
      <c r="A570" s="3">
        <v>569</v>
      </c>
      <c r="B570" s="1" t="s">
        <v>2790</v>
      </c>
      <c r="C570" s="1" t="s">
        <v>2219</v>
      </c>
      <c r="D570" s="3" t="s">
        <v>3490</v>
      </c>
      <c r="E570" s="1" t="s">
        <v>1113</v>
      </c>
      <c r="F570" s="1" t="s">
        <v>1242</v>
      </c>
      <c r="G570" s="1" t="s">
        <v>2006</v>
      </c>
      <c r="H570" s="1" t="s">
        <v>2087</v>
      </c>
      <c r="I570" s="1" t="s">
        <v>1064</v>
      </c>
    </row>
    <row r="571" spans="1:9" x14ac:dyDescent="0.3">
      <c r="A571" s="3">
        <v>570</v>
      </c>
      <c r="B571" s="1" t="s">
        <v>2791</v>
      </c>
      <c r="C571" s="1" t="s">
        <v>545</v>
      </c>
      <c r="D571" s="3" t="s">
        <v>3489</v>
      </c>
      <c r="E571" s="1" t="s">
        <v>1113</v>
      </c>
      <c r="F571" s="1" t="s">
        <v>1483</v>
      </c>
      <c r="G571" s="1" t="s">
        <v>2007</v>
      </c>
      <c r="H571" s="1" t="s">
        <v>704</v>
      </c>
      <c r="I571" s="1" t="s">
        <v>1065</v>
      </c>
    </row>
    <row r="572" spans="1:9" x14ac:dyDescent="0.3">
      <c r="A572" s="3">
        <v>571</v>
      </c>
      <c r="B572" s="1" t="s">
        <v>2792</v>
      </c>
      <c r="C572" s="1" t="s">
        <v>546</v>
      </c>
      <c r="D572" s="3" t="s">
        <v>3489</v>
      </c>
      <c r="E572" s="1" t="s">
        <v>1118</v>
      </c>
      <c r="F572" s="1" t="s">
        <v>1213</v>
      </c>
      <c r="G572" s="1" t="s">
        <v>2008</v>
      </c>
      <c r="H572" s="1" t="s">
        <v>704</v>
      </c>
      <c r="I572" s="1" t="s">
        <v>1066</v>
      </c>
    </row>
    <row r="573" spans="1:9" x14ac:dyDescent="0.3">
      <c r="A573" s="3">
        <v>572</v>
      </c>
      <c r="B573" s="1" t="s">
        <v>2793</v>
      </c>
      <c r="C573" s="1" t="s">
        <v>547</v>
      </c>
      <c r="D573" s="3" t="s">
        <v>3489</v>
      </c>
      <c r="E573" s="1" t="s">
        <v>1118</v>
      </c>
      <c r="F573" s="1" t="s">
        <v>1484</v>
      </c>
      <c r="G573" s="1" t="s">
        <v>2009</v>
      </c>
      <c r="H573" s="1" t="s">
        <v>704</v>
      </c>
      <c r="I573" s="1" t="s">
        <v>1067</v>
      </c>
    </row>
    <row r="574" spans="1:9" x14ac:dyDescent="0.3">
      <c r="A574" s="3">
        <v>573</v>
      </c>
      <c r="B574" s="1" t="s">
        <v>2794</v>
      </c>
      <c r="C574" s="1" t="s">
        <v>548</v>
      </c>
      <c r="D574" s="3" t="s">
        <v>3490</v>
      </c>
      <c r="E574" s="1" t="s">
        <v>1118</v>
      </c>
      <c r="F574" s="1" t="s">
        <v>1242</v>
      </c>
      <c r="G574" s="1" t="s">
        <v>2010</v>
      </c>
      <c r="H574" s="1" t="s">
        <v>704</v>
      </c>
      <c r="I574" s="1" t="s">
        <v>1068</v>
      </c>
    </row>
    <row r="575" spans="1:9" x14ac:dyDescent="0.3">
      <c r="A575" s="3">
        <v>574</v>
      </c>
      <c r="B575" s="1" t="s">
        <v>2795</v>
      </c>
      <c r="C575" s="1" t="s">
        <v>549</v>
      </c>
      <c r="D575" s="3" t="s">
        <v>3490</v>
      </c>
      <c r="E575" s="1" t="s">
        <v>1118</v>
      </c>
      <c r="F575" s="1" t="s">
        <v>1485</v>
      </c>
      <c r="G575" s="1" t="s">
        <v>2011</v>
      </c>
      <c r="H575" s="1" t="s">
        <v>704</v>
      </c>
      <c r="I575" s="1" t="s">
        <v>1069</v>
      </c>
    </row>
    <row r="576" spans="1:9" x14ac:dyDescent="0.3">
      <c r="A576" s="3">
        <v>575</v>
      </c>
      <c r="B576" s="1" t="s">
        <v>2796</v>
      </c>
      <c r="C576" s="1" t="s">
        <v>550</v>
      </c>
      <c r="D576" s="3" t="s">
        <v>3490</v>
      </c>
      <c r="E576" s="1" t="s">
        <v>1118</v>
      </c>
      <c r="F576" s="1" t="s">
        <v>1486</v>
      </c>
      <c r="G576" s="1" t="s">
        <v>2012</v>
      </c>
      <c r="H576" s="1" t="s">
        <v>2075</v>
      </c>
      <c r="I576" s="1" t="s">
        <v>1070</v>
      </c>
    </row>
    <row r="577" spans="1:9" x14ac:dyDescent="0.3">
      <c r="A577" s="3">
        <v>576</v>
      </c>
      <c r="B577" s="1" t="s">
        <v>2797</v>
      </c>
      <c r="C577" s="1" t="s">
        <v>551</v>
      </c>
      <c r="D577" s="3" t="s">
        <v>3490</v>
      </c>
      <c r="E577" s="1" t="s">
        <v>1118</v>
      </c>
      <c r="F577" s="1" t="s">
        <v>68</v>
      </c>
      <c r="G577" s="1" t="s">
        <v>2013</v>
      </c>
      <c r="H577" s="1" t="s">
        <v>704</v>
      </c>
      <c r="I577" s="1" t="s">
        <v>1071</v>
      </c>
    </row>
    <row r="578" spans="1:9" x14ac:dyDescent="0.3">
      <c r="A578" s="3">
        <v>577</v>
      </c>
      <c r="B578" s="1" t="s">
        <v>2798</v>
      </c>
      <c r="C578" s="1" t="s">
        <v>2220</v>
      </c>
      <c r="D578" s="3" t="s">
        <v>3490</v>
      </c>
      <c r="E578" s="1" t="s">
        <v>1118</v>
      </c>
      <c r="F578" s="1" t="s">
        <v>1487</v>
      </c>
      <c r="G578" s="1" t="s">
        <v>2014</v>
      </c>
      <c r="H578" s="1" t="s">
        <v>704</v>
      </c>
      <c r="I578" s="1" t="s">
        <v>1072</v>
      </c>
    </row>
    <row r="579" spans="1:9" x14ac:dyDescent="0.3">
      <c r="A579" s="3">
        <v>578</v>
      </c>
      <c r="B579" s="1" t="s">
        <v>2799</v>
      </c>
      <c r="C579" s="1" t="s">
        <v>552</v>
      </c>
      <c r="D579" s="3" t="s">
        <v>3489</v>
      </c>
      <c r="E579" s="1" t="s">
        <v>1118</v>
      </c>
      <c r="F579" s="1" t="s">
        <v>1208</v>
      </c>
      <c r="G579" s="1" t="s">
        <v>2015</v>
      </c>
      <c r="H579" s="1" t="s">
        <v>704</v>
      </c>
      <c r="I579" s="1" t="s">
        <v>1073</v>
      </c>
    </row>
    <row r="580" spans="1:9" x14ac:dyDescent="0.3">
      <c r="A580" s="3">
        <v>579</v>
      </c>
      <c r="B580" s="1" t="s">
        <v>2800</v>
      </c>
      <c r="C580" s="1" t="s">
        <v>553</v>
      </c>
      <c r="D580" s="3" t="s">
        <v>3489</v>
      </c>
      <c r="E580" s="1" t="s">
        <v>1118</v>
      </c>
      <c r="F580" s="1" t="s">
        <v>1166</v>
      </c>
      <c r="G580" s="1" t="s">
        <v>2016</v>
      </c>
      <c r="H580" s="1" t="s">
        <v>704</v>
      </c>
      <c r="I580" s="1" t="s">
        <v>1074</v>
      </c>
    </row>
    <row r="581" spans="1:9" x14ac:dyDescent="0.3">
      <c r="A581" s="3">
        <v>580</v>
      </c>
      <c r="B581" s="1" t="s">
        <v>2801</v>
      </c>
      <c r="C581" s="1" t="s">
        <v>554</v>
      </c>
      <c r="D581" s="3" t="s">
        <v>3489</v>
      </c>
      <c r="E581" s="1" t="s">
        <v>1118</v>
      </c>
      <c r="F581" s="1" t="s">
        <v>1457</v>
      </c>
      <c r="G581" s="1" t="s">
        <v>1972</v>
      </c>
      <c r="H581" s="1" t="s">
        <v>704</v>
      </c>
      <c r="I581" s="1" t="s">
        <v>1027</v>
      </c>
    </row>
    <row r="582" spans="1:9" x14ac:dyDescent="0.3">
      <c r="A582" s="3">
        <v>581</v>
      </c>
      <c r="B582" s="1" t="s">
        <v>2802</v>
      </c>
      <c r="C582" s="1" t="s">
        <v>555</v>
      </c>
      <c r="D582" s="3" t="s">
        <v>3490</v>
      </c>
      <c r="E582" s="1" t="s">
        <v>1118</v>
      </c>
      <c r="F582" s="1" t="s">
        <v>1488</v>
      </c>
      <c r="G582" s="1" t="s">
        <v>2017</v>
      </c>
      <c r="H582" s="1" t="s">
        <v>704</v>
      </c>
      <c r="I582" s="1" t="s">
        <v>1075</v>
      </c>
    </row>
    <row r="583" spans="1:9" x14ac:dyDescent="0.3">
      <c r="A583" s="3">
        <v>582</v>
      </c>
      <c r="B583" s="1" t="s">
        <v>2803</v>
      </c>
      <c r="C583" s="1" t="s">
        <v>556</v>
      </c>
      <c r="D583" s="3" t="s">
        <v>3490</v>
      </c>
      <c r="E583" s="1" t="s">
        <v>1118</v>
      </c>
      <c r="F583" s="1" t="s">
        <v>1489</v>
      </c>
      <c r="G583" s="1" t="s">
        <v>2018</v>
      </c>
      <c r="H583" s="1" t="s">
        <v>2075</v>
      </c>
      <c r="I583" s="1" t="s">
        <v>1076</v>
      </c>
    </row>
    <row r="584" spans="1:9" x14ac:dyDescent="0.3">
      <c r="A584" s="3">
        <v>583</v>
      </c>
      <c r="B584" s="1" t="s">
        <v>2804</v>
      </c>
      <c r="C584" s="1" t="s">
        <v>557</v>
      </c>
      <c r="D584" s="3" t="s">
        <v>3490</v>
      </c>
      <c r="E584" s="1" t="s">
        <v>1118</v>
      </c>
      <c r="F584" s="1" t="s">
        <v>1490</v>
      </c>
      <c r="G584" s="1" t="s">
        <v>2019</v>
      </c>
      <c r="H584" s="1" t="s">
        <v>704</v>
      </c>
      <c r="I584" s="1" t="s">
        <v>1077</v>
      </c>
    </row>
    <row r="585" spans="1:9" x14ac:dyDescent="0.3">
      <c r="A585" s="3">
        <v>584</v>
      </c>
      <c r="B585" s="1" t="s">
        <v>2805</v>
      </c>
      <c r="C585" s="1" t="s">
        <v>558</v>
      </c>
      <c r="D585" s="3" t="s">
        <v>3490</v>
      </c>
      <c r="E585" s="1" t="s">
        <v>1113</v>
      </c>
      <c r="F585" s="1" t="s">
        <v>1491</v>
      </c>
      <c r="G585" s="1" t="s">
        <v>2020</v>
      </c>
      <c r="H585" s="1" t="s">
        <v>704</v>
      </c>
      <c r="I585" s="1" t="s">
        <v>1078</v>
      </c>
    </row>
    <row r="586" spans="1:9" x14ac:dyDescent="0.3">
      <c r="A586" s="3">
        <v>585</v>
      </c>
      <c r="B586" s="1" t="s">
        <v>2806</v>
      </c>
      <c r="C586" s="1" t="s">
        <v>559</v>
      </c>
      <c r="D586" s="3" t="s">
        <v>3490</v>
      </c>
      <c r="E586" s="1" t="s">
        <v>1118</v>
      </c>
      <c r="F586" s="1" t="s">
        <v>1492</v>
      </c>
      <c r="G586" s="1" t="s">
        <v>2021</v>
      </c>
      <c r="H586" s="1" t="s">
        <v>704</v>
      </c>
      <c r="I586" s="1" t="s">
        <v>1079</v>
      </c>
    </row>
    <row r="587" spans="1:9" x14ac:dyDescent="0.3">
      <c r="A587" s="3">
        <v>586</v>
      </c>
      <c r="B587" s="1" t="s">
        <v>2807</v>
      </c>
      <c r="C587" s="1" t="s">
        <v>560</v>
      </c>
      <c r="D587" s="3" t="s">
        <v>3490</v>
      </c>
      <c r="E587" s="1" t="s">
        <v>1118</v>
      </c>
      <c r="F587" s="1" t="s">
        <v>1493</v>
      </c>
      <c r="G587" s="1" t="s">
        <v>2022</v>
      </c>
      <c r="H587" s="1" t="s">
        <v>704</v>
      </c>
      <c r="I587" s="1" t="s">
        <v>1080</v>
      </c>
    </row>
    <row r="588" spans="1:9" x14ac:dyDescent="0.3">
      <c r="A588" s="3">
        <v>587</v>
      </c>
      <c r="B588" s="1" t="s">
        <v>2808</v>
      </c>
      <c r="C588" s="1" t="s">
        <v>561</v>
      </c>
      <c r="D588" s="3" t="s">
        <v>3490</v>
      </c>
      <c r="E588" s="1" t="s">
        <v>1118</v>
      </c>
      <c r="F588" s="1" t="s">
        <v>1494</v>
      </c>
      <c r="G588" s="1" t="s">
        <v>2023</v>
      </c>
      <c r="H588" s="1" t="s">
        <v>704</v>
      </c>
      <c r="I588" s="1" t="s">
        <v>1081</v>
      </c>
    </row>
    <row r="589" spans="1:9" x14ac:dyDescent="0.3">
      <c r="A589" s="3">
        <v>588</v>
      </c>
      <c r="B589" s="1" t="s">
        <v>2809</v>
      </c>
      <c r="C589" s="1" t="s">
        <v>562</v>
      </c>
      <c r="D589" s="3" t="s">
        <v>3489</v>
      </c>
      <c r="E589" s="1" t="s">
        <v>1118</v>
      </c>
      <c r="F589" s="1" t="s">
        <v>1495</v>
      </c>
      <c r="G589" s="1" t="s">
        <v>2024</v>
      </c>
      <c r="H589" s="1" t="s">
        <v>704</v>
      </c>
      <c r="I589" s="1" t="s">
        <v>1082</v>
      </c>
    </row>
    <row r="590" spans="1:9" x14ac:dyDescent="0.3">
      <c r="A590" s="3">
        <v>589</v>
      </c>
      <c r="B590" s="1" t="s">
        <v>2810</v>
      </c>
      <c r="C590" s="1" t="s">
        <v>563</v>
      </c>
      <c r="D590" s="3" t="s">
        <v>3490</v>
      </c>
      <c r="E590" s="1" t="s">
        <v>1113</v>
      </c>
      <c r="F590" s="1" t="s">
        <v>68</v>
      </c>
      <c r="G590" s="1" t="s">
        <v>2025</v>
      </c>
      <c r="H590" s="1" t="s">
        <v>704</v>
      </c>
      <c r="I590" s="1" t="s">
        <v>1083</v>
      </c>
    </row>
    <row r="591" spans="1:9" x14ac:dyDescent="0.3">
      <c r="A591" s="3">
        <v>590</v>
      </c>
      <c r="B591" s="1" t="s">
        <v>2811</v>
      </c>
      <c r="C591" s="1" t="s">
        <v>564</v>
      </c>
      <c r="D591" s="3" t="s">
        <v>3490</v>
      </c>
      <c r="E591" s="1" t="s">
        <v>1118</v>
      </c>
      <c r="F591" s="1" t="s">
        <v>1496</v>
      </c>
      <c r="G591" s="1" t="s">
        <v>2026</v>
      </c>
      <c r="H591" s="1" t="s">
        <v>704</v>
      </c>
      <c r="I591" s="1" t="s">
        <v>1084</v>
      </c>
    </row>
    <row r="592" spans="1:9" x14ac:dyDescent="0.3">
      <c r="A592" s="3">
        <v>591</v>
      </c>
      <c r="B592" s="1" t="s">
        <v>2812</v>
      </c>
      <c r="C592" s="1" t="s">
        <v>565</v>
      </c>
      <c r="D592" s="3" t="s">
        <v>3489</v>
      </c>
      <c r="E592" s="1" t="s">
        <v>1118</v>
      </c>
      <c r="F592" s="1" t="s">
        <v>1497</v>
      </c>
      <c r="G592" s="1" t="s">
        <v>1242</v>
      </c>
      <c r="H592" s="1" t="s">
        <v>704</v>
      </c>
      <c r="I592" s="1" t="s">
        <v>1085</v>
      </c>
    </row>
    <row r="593" spans="1:9" x14ac:dyDescent="0.3">
      <c r="A593" s="3">
        <v>592</v>
      </c>
      <c r="B593" s="1" t="s">
        <v>2813</v>
      </c>
      <c r="C593" s="1" t="s">
        <v>566</v>
      </c>
      <c r="D593" s="3" t="s">
        <v>3490</v>
      </c>
      <c r="E593" s="1" t="s">
        <v>1118</v>
      </c>
      <c r="F593" s="1" t="s">
        <v>1498</v>
      </c>
      <c r="G593" s="1" t="s">
        <v>2027</v>
      </c>
      <c r="H593" s="1" t="s">
        <v>704</v>
      </c>
      <c r="I593" s="1" t="s">
        <v>1086</v>
      </c>
    </row>
    <row r="594" spans="1:9" x14ac:dyDescent="0.3">
      <c r="A594" s="3">
        <v>593</v>
      </c>
      <c r="B594" s="1" t="s">
        <v>2814</v>
      </c>
      <c r="C594" s="1" t="s">
        <v>567</v>
      </c>
      <c r="D594" s="3" t="s">
        <v>3490</v>
      </c>
      <c r="E594" s="1" t="s">
        <v>1118</v>
      </c>
      <c r="F594" s="1" t="s">
        <v>1213</v>
      </c>
      <c r="G594" s="1" t="s">
        <v>2028</v>
      </c>
      <c r="H594" s="1" t="s">
        <v>704</v>
      </c>
      <c r="I594" s="1" t="s">
        <v>1087</v>
      </c>
    </row>
    <row r="595" spans="1:9" x14ac:dyDescent="0.3">
      <c r="A595" s="3">
        <v>594</v>
      </c>
      <c r="B595" s="1" t="s">
        <v>2815</v>
      </c>
      <c r="C595" s="1" t="s">
        <v>568</v>
      </c>
      <c r="D595" s="3" t="s">
        <v>3490</v>
      </c>
      <c r="E595" s="1" t="s">
        <v>1118</v>
      </c>
      <c r="F595" s="1" t="s">
        <v>1499</v>
      </c>
      <c r="G595" s="1" t="s">
        <v>2029</v>
      </c>
      <c r="H595" s="1" t="s">
        <v>704</v>
      </c>
      <c r="I595" s="1" t="s">
        <v>1088</v>
      </c>
    </row>
    <row r="596" spans="1:9" x14ac:dyDescent="0.3">
      <c r="A596" s="3">
        <v>595</v>
      </c>
      <c r="B596" s="1" t="s">
        <v>2816</v>
      </c>
      <c r="C596" s="1" t="s">
        <v>569</v>
      </c>
      <c r="D596" s="3" t="s">
        <v>3489</v>
      </c>
      <c r="E596" s="1" t="s">
        <v>1118</v>
      </c>
      <c r="F596" s="1" t="s">
        <v>1500</v>
      </c>
      <c r="G596" s="1" t="s">
        <v>2030</v>
      </c>
      <c r="H596" s="1" t="s">
        <v>704</v>
      </c>
      <c r="I596" s="1" t="s">
        <v>1089</v>
      </c>
    </row>
    <row r="597" spans="1:9" x14ac:dyDescent="0.3">
      <c r="A597" s="3">
        <v>596</v>
      </c>
      <c r="B597" s="1" t="s">
        <v>2817</v>
      </c>
      <c r="C597" s="1" t="s">
        <v>570</v>
      </c>
      <c r="D597" s="3" t="s">
        <v>3489</v>
      </c>
      <c r="E597" s="1" t="s">
        <v>1118</v>
      </c>
      <c r="F597" s="1" t="s">
        <v>1501</v>
      </c>
      <c r="G597" s="1" t="s">
        <v>2031</v>
      </c>
      <c r="H597" s="1" t="s">
        <v>704</v>
      </c>
      <c r="I597" s="1" t="s">
        <v>1090</v>
      </c>
    </row>
    <row r="598" spans="1:9" x14ac:dyDescent="0.3">
      <c r="A598" s="3">
        <v>597</v>
      </c>
      <c r="B598" s="1" t="s">
        <v>2818</v>
      </c>
      <c r="C598" s="1" t="s">
        <v>571</v>
      </c>
      <c r="D598" s="3" t="s">
        <v>3490</v>
      </c>
      <c r="E598" s="1" t="s">
        <v>1113</v>
      </c>
      <c r="F598" s="1" t="s">
        <v>1502</v>
      </c>
      <c r="G598" s="1" t="s">
        <v>2032</v>
      </c>
      <c r="H598" s="1" t="s">
        <v>704</v>
      </c>
      <c r="I598" s="1" t="s">
        <v>1091</v>
      </c>
    </row>
    <row r="599" spans="1:9" x14ac:dyDescent="0.3">
      <c r="A599" s="3">
        <v>598</v>
      </c>
      <c r="B599" s="1" t="s">
        <v>2819</v>
      </c>
      <c r="C599" s="1" t="s">
        <v>572</v>
      </c>
      <c r="D599" s="3" t="s">
        <v>3489</v>
      </c>
      <c r="E599" s="1" t="s">
        <v>1118</v>
      </c>
      <c r="F599" s="1" t="s">
        <v>1503</v>
      </c>
      <c r="G599" s="1" t="s">
        <v>2033</v>
      </c>
      <c r="H599" s="1" t="s">
        <v>704</v>
      </c>
      <c r="I599" s="1" t="s">
        <v>1092</v>
      </c>
    </row>
    <row r="600" spans="1:9" x14ac:dyDescent="0.3">
      <c r="A600" s="3">
        <v>599</v>
      </c>
      <c r="B600" s="1" t="s">
        <v>2820</v>
      </c>
      <c r="C600" s="1" t="s">
        <v>573</v>
      </c>
      <c r="D600" s="3" t="s">
        <v>3489</v>
      </c>
      <c r="E600" s="1" t="s">
        <v>1118</v>
      </c>
      <c r="F600" s="1" t="s">
        <v>1504</v>
      </c>
      <c r="G600" s="1" t="s">
        <v>2034</v>
      </c>
      <c r="H600" s="1" t="s">
        <v>704</v>
      </c>
      <c r="I600" s="1" t="s">
        <v>1093</v>
      </c>
    </row>
    <row r="601" spans="1:9" x14ac:dyDescent="0.3">
      <c r="A601" s="3">
        <v>600</v>
      </c>
      <c r="B601" s="1" t="s">
        <v>2821</v>
      </c>
      <c r="C601" s="1" t="s">
        <v>574</v>
      </c>
      <c r="D601" s="3" t="s">
        <v>3489</v>
      </c>
      <c r="E601" s="1" t="s">
        <v>1118</v>
      </c>
      <c r="F601" s="1" t="s">
        <v>1505</v>
      </c>
      <c r="G601" s="1" t="s">
        <v>2035</v>
      </c>
      <c r="H601" s="1" t="s">
        <v>704</v>
      </c>
      <c r="I601" s="1" t="s">
        <v>1094</v>
      </c>
    </row>
    <row r="602" spans="1:9" x14ac:dyDescent="0.3">
      <c r="A602" s="3">
        <v>601</v>
      </c>
      <c r="B602" s="1" t="s">
        <v>2822</v>
      </c>
      <c r="C602" s="1" t="s">
        <v>575</v>
      </c>
      <c r="D602" s="3" t="s">
        <v>3489</v>
      </c>
      <c r="E602" s="1" t="s">
        <v>1118</v>
      </c>
      <c r="F602" s="1" t="s">
        <v>1504</v>
      </c>
      <c r="G602" s="1" t="s">
        <v>1763</v>
      </c>
      <c r="H602" s="1" t="s">
        <v>704</v>
      </c>
      <c r="I602" s="1" t="s">
        <v>1095</v>
      </c>
    </row>
    <row r="603" spans="1:9" x14ac:dyDescent="0.3">
      <c r="A603" s="3">
        <v>602</v>
      </c>
      <c r="B603" s="1" t="s">
        <v>2823</v>
      </c>
      <c r="C603" s="1" t="s">
        <v>576</v>
      </c>
      <c r="D603" s="3" t="s">
        <v>3490</v>
      </c>
      <c r="E603" s="1" t="s">
        <v>1118</v>
      </c>
      <c r="F603" s="1" t="s">
        <v>1506</v>
      </c>
      <c r="G603" s="1" t="s">
        <v>2036</v>
      </c>
      <c r="H603" s="1" t="s">
        <v>704</v>
      </c>
      <c r="I603" s="1" t="s">
        <v>1096</v>
      </c>
    </row>
    <row r="604" spans="1:9" x14ac:dyDescent="0.3">
      <c r="A604" s="3">
        <v>603</v>
      </c>
      <c r="B604" s="1" t="s">
        <v>2824</v>
      </c>
      <c r="C604" s="1" t="s">
        <v>577</v>
      </c>
      <c r="D604" s="3" t="s">
        <v>3490</v>
      </c>
      <c r="E604" s="1" t="s">
        <v>1113</v>
      </c>
      <c r="F604" s="1" t="s">
        <v>1217</v>
      </c>
      <c r="G604" s="1" t="s">
        <v>2037</v>
      </c>
      <c r="H604" s="1" t="s">
        <v>704</v>
      </c>
      <c r="I604" s="1" t="s">
        <v>1097</v>
      </c>
    </row>
    <row r="605" spans="1:9" x14ac:dyDescent="0.3">
      <c r="A605" s="3">
        <v>604</v>
      </c>
      <c r="B605" s="1" t="s">
        <v>2825</v>
      </c>
      <c r="C605" s="1" t="s">
        <v>578</v>
      </c>
      <c r="D605" s="3" t="s">
        <v>3490</v>
      </c>
      <c r="E605" s="1" t="s">
        <v>1113</v>
      </c>
      <c r="F605" s="1" t="s">
        <v>1507</v>
      </c>
      <c r="G605" s="1" t="s">
        <v>2038</v>
      </c>
      <c r="H605" s="1" t="s">
        <v>704</v>
      </c>
      <c r="I605" s="1" t="s">
        <v>1098</v>
      </c>
    </row>
    <row r="606" spans="1:9" x14ac:dyDescent="0.3">
      <c r="A606" s="3">
        <v>605</v>
      </c>
      <c r="B606" s="1" t="s">
        <v>2826</v>
      </c>
      <c r="C606" s="1" t="s">
        <v>579</v>
      </c>
      <c r="D606" s="3" t="s">
        <v>3490</v>
      </c>
      <c r="E606" s="1" t="s">
        <v>1118</v>
      </c>
      <c r="F606" s="1" t="s">
        <v>68</v>
      </c>
      <c r="G606" s="1" t="s">
        <v>2039</v>
      </c>
      <c r="H606" s="1" t="s">
        <v>704</v>
      </c>
      <c r="I606" s="1" t="s">
        <v>1099</v>
      </c>
    </row>
    <row r="607" spans="1:9" x14ac:dyDescent="0.3">
      <c r="A607" s="3">
        <v>606</v>
      </c>
      <c r="B607" s="1" t="s">
        <v>2827</v>
      </c>
      <c r="C607" s="1" t="s">
        <v>580</v>
      </c>
      <c r="D607" s="3" t="s">
        <v>3489</v>
      </c>
      <c r="E607" s="1" t="s">
        <v>1118</v>
      </c>
      <c r="F607" s="1" t="s">
        <v>1508</v>
      </c>
      <c r="G607" s="1" t="s">
        <v>2040</v>
      </c>
      <c r="H607" s="1" t="s">
        <v>704</v>
      </c>
      <c r="I607" s="1" t="s">
        <v>1100</v>
      </c>
    </row>
    <row r="608" spans="1:9" x14ac:dyDescent="0.3">
      <c r="A608" s="3">
        <v>607</v>
      </c>
      <c r="B608" s="1" t="s">
        <v>2828</v>
      </c>
      <c r="C608" s="1" t="s">
        <v>581</v>
      </c>
      <c r="D608" s="3" t="s">
        <v>3490</v>
      </c>
      <c r="E608" s="1" t="s">
        <v>1113</v>
      </c>
      <c r="F608" s="1" t="s">
        <v>1509</v>
      </c>
      <c r="G608" s="1" t="s">
        <v>2041</v>
      </c>
      <c r="H608" s="1" t="s">
        <v>2075</v>
      </c>
      <c r="I608" s="1" t="s">
        <v>1101</v>
      </c>
    </row>
    <row r="609" spans="1:9" x14ac:dyDescent="0.3">
      <c r="A609" s="3">
        <v>608</v>
      </c>
      <c r="B609" s="1" t="s">
        <v>2829</v>
      </c>
      <c r="C609" s="1" t="s">
        <v>582</v>
      </c>
      <c r="D609" s="3" t="s">
        <v>3490</v>
      </c>
      <c r="E609" s="1" t="s">
        <v>1118</v>
      </c>
      <c r="F609" s="1" t="s">
        <v>1510</v>
      </c>
      <c r="G609" s="1" t="s">
        <v>2042</v>
      </c>
      <c r="H609" s="1" t="s">
        <v>704</v>
      </c>
      <c r="I609" s="1" t="s">
        <v>1102</v>
      </c>
    </row>
    <row r="610" spans="1:9" x14ac:dyDescent="0.3">
      <c r="A610" s="3">
        <v>609</v>
      </c>
      <c r="B610" s="1" t="s">
        <v>2830</v>
      </c>
      <c r="C610" s="1" t="s">
        <v>583</v>
      </c>
      <c r="D610" s="3" t="s">
        <v>3489</v>
      </c>
      <c r="E610" s="1" t="s">
        <v>1118</v>
      </c>
      <c r="F610" s="1" t="s">
        <v>704</v>
      </c>
      <c r="G610" s="1" t="s">
        <v>2043</v>
      </c>
      <c r="H610" s="1" t="s">
        <v>704</v>
      </c>
      <c r="I610" s="1" t="s">
        <v>1103</v>
      </c>
    </row>
    <row r="611" spans="1:9" x14ac:dyDescent="0.3">
      <c r="A611" s="3">
        <v>610</v>
      </c>
      <c r="B611" s="1" t="s">
        <v>2831</v>
      </c>
      <c r="C611" s="1" t="s">
        <v>584</v>
      </c>
      <c r="D611" s="3" t="s">
        <v>3490</v>
      </c>
      <c r="E611" s="1" t="s">
        <v>1115</v>
      </c>
      <c r="F611" s="1" t="s">
        <v>704</v>
      </c>
      <c r="G611" s="1" t="s">
        <v>704</v>
      </c>
      <c r="H611" s="1" t="s">
        <v>704</v>
      </c>
      <c r="I611" s="1" t="s">
        <v>1104</v>
      </c>
    </row>
    <row r="612" spans="1:9" x14ac:dyDescent="0.3">
      <c r="A612" s="3">
        <v>611</v>
      </c>
      <c r="B612" s="1" t="s">
        <v>2832</v>
      </c>
      <c r="C612" s="1" t="s">
        <v>2221</v>
      </c>
      <c r="D612" s="3" t="s">
        <v>3489</v>
      </c>
      <c r="E612" s="1" t="s">
        <v>1118</v>
      </c>
      <c r="F612" s="1" t="s">
        <v>1414</v>
      </c>
      <c r="G612" s="1" t="s">
        <v>2044</v>
      </c>
      <c r="H612" s="1" t="s">
        <v>704</v>
      </c>
      <c r="I612" s="1" t="s">
        <v>1105</v>
      </c>
    </row>
    <row r="613" spans="1:9" x14ac:dyDescent="0.3">
      <c r="A613" s="3">
        <v>612</v>
      </c>
      <c r="B613" s="1" t="s">
        <v>2833</v>
      </c>
      <c r="C613" s="1" t="s">
        <v>585</v>
      </c>
      <c r="D613" s="3" t="s">
        <v>3490</v>
      </c>
      <c r="E613" s="1" t="s">
        <v>1118</v>
      </c>
      <c r="F613" s="1" t="s">
        <v>1504</v>
      </c>
      <c r="G613" s="1" t="s">
        <v>2045</v>
      </c>
      <c r="H613" s="1" t="s">
        <v>704</v>
      </c>
      <c r="I613" s="1" t="s">
        <v>1106</v>
      </c>
    </row>
    <row r="614" spans="1:9" x14ac:dyDescent="0.3">
      <c r="A614" s="3">
        <v>613</v>
      </c>
      <c r="B614" s="1" t="s">
        <v>2834</v>
      </c>
      <c r="C614" s="1" t="s">
        <v>586</v>
      </c>
      <c r="D614" s="3" t="s">
        <v>3489</v>
      </c>
      <c r="E614" s="1" t="s">
        <v>1115</v>
      </c>
      <c r="F614" s="1" t="s">
        <v>704</v>
      </c>
      <c r="G614" s="1" t="s">
        <v>704</v>
      </c>
      <c r="H614" s="1" t="s">
        <v>704</v>
      </c>
      <c r="I614" s="1" t="s">
        <v>1107</v>
      </c>
    </row>
    <row r="615" spans="1:9" x14ac:dyDescent="0.3">
      <c r="A615" s="3">
        <v>614</v>
      </c>
      <c r="B615" s="1" t="s">
        <v>2835</v>
      </c>
      <c r="C615" s="1" t="s">
        <v>587</v>
      </c>
      <c r="D615" s="3" t="s">
        <v>3490</v>
      </c>
      <c r="E615" s="1" t="s">
        <v>1114</v>
      </c>
      <c r="F615" s="1" t="s">
        <v>1511</v>
      </c>
      <c r="G615" s="1" t="s">
        <v>2046</v>
      </c>
      <c r="H615" s="1" t="s">
        <v>704</v>
      </c>
      <c r="I615" s="1" t="s">
        <v>1108</v>
      </c>
    </row>
    <row r="616" spans="1:9" x14ac:dyDescent="0.3">
      <c r="A616" s="3">
        <v>615</v>
      </c>
      <c r="B616" s="1" t="s">
        <v>2836</v>
      </c>
      <c r="C616" s="1" t="s">
        <v>588</v>
      </c>
      <c r="D616" s="3" t="s">
        <v>3490</v>
      </c>
      <c r="E616" s="1" t="s">
        <v>1118</v>
      </c>
      <c r="F616" s="1" t="s">
        <v>1512</v>
      </c>
      <c r="G616" s="1" t="s">
        <v>2047</v>
      </c>
      <c r="H616" s="1" t="s">
        <v>704</v>
      </c>
      <c r="I616" s="1" t="s">
        <v>1109</v>
      </c>
    </row>
    <row r="617" spans="1:9" x14ac:dyDescent="0.3">
      <c r="A617" s="3">
        <v>616</v>
      </c>
      <c r="B617" s="1" t="s">
        <v>2837</v>
      </c>
      <c r="C617" s="1" t="s">
        <v>589</v>
      </c>
      <c r="D617" s="3" t="s">
        <v>3490</v>
      </c>
      <c r="E617" s="1" t="s">
        <v>1118</v>
      </c>
      <c r="F617" s="1" t="s">
        <v>1229</v>
      </c>
      <c r="G617" s="1" t="s">
        <v>2048</v>
      </c>
      <c r="H617" s="1" t="s">
        <v>704</v>
      </c>
      <c r="I617" s="1" t="s">
        <v>1110</v>
      </c>
    </row>
    <row r="618" spans="1:9" x14ac:dyDescent="0.3">
      <c r="A618" s="3">
        <v>617</v>
      </c>
      <c r="B618" s="1" t="s">
        <v>2838</v>
      </c>
      <c r="C618" s="1" t="s">
        <v>474</v>
      </c>
      <c r="D618" s="3" t="s">
        <v>3490</v>
      </c>
      <c r="E618" s="1" t="s">
        <v>1113</v>
      </c>
      <c r="F618" s="1" t="s">
        <v>1513</v>
      </c>
      <c r="G618" s="1" t="s">
        <v>1937</v>
      </c>
      <c r="H618" s="1" t="s">
        <v>2088</v>
      </c>
      <c r="I618" s="1" t="s">
        <v>994</v>
      </c>
    </row>
    <row r="619" spans="1:9" x14ac:dyDescent="0.3">
      <c r="A619" s="3">
        <v>618</v>
      </c>
      <c r="B619" s="1" t="s">
        <v>2839</v>
      </c>
      <c r="C619" s="1" t="s">
        <v>590</v>
      </c>
      <c r="D619" s="3" t="s">
        <v>3490</v>
      </c>
      <c r="E619" s="1" t="s">
        <v>1113</v>
      </c>
      <c r="F619" s="1" t="s">
        <v>1514</v>
      </c>
      <c r="G619" s="1" t="s">
        <v>2049</v>
      </c>
      <c r="H619" s="1" t="s">
        <v>704</v>
      </c>
      <c r="I619" s="1" t="s">
        <v>1111</v>
      </c>
    </row>
    <row r="620" spans="1:9" x14ac:dyDescent="0.3">
      <c r="A620" s="3">
        <v>619</v>
      </c>
      <c r="B620" s="1" t="s">
        <v>2840</v>
      </c>
      <c r="C620" s="1" t="s">
        <v>591</v>
      </c>
      <c r="D620" s="3" t="s">
        <v>3490</v>
      </c>
      <c r="E620" s="1" t="s">
        <v>1115</v>
      </c>
      <c r="F620" s="1" t="s">
        <v>1515</v>
      </c>
      <c r="G620" s="1" t="s">
        <v>2050</v>
      </c>
      <c r="H620" s="1" t="s">
        <v>704</v>
      </c>
      <c r="I620" s="1" t="s">
        <v>1112</v>
      </c>
    </row>
  </sheetData>
  <phoneticPr fontId="3" type="noConversion"/>
  <dataValidations count="1">
    <dataValidation type="custom" allowBlank="1" showInputMessage="1" showErrorMessage="1" errorTitle="Duplicated ID" error="ID is not allowed duplicated." sqref="B2:B620" xr:uid="{5AFE787C-DF1C-40BC-9D10-34163DD67656}">
      <formula1>COUNTIF(INDIRECT("Cands[CandID]"),INDIRECT("Cands[@CandID]"))&lt;2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4B28C-08C1-496F-9B8E-503B1AB20961}">
  <sheetPr codeName="shApp_Data"/>
  <dimension ref="A1:Q620"/>
  <sheetViews>
    <sheetView zoomScaleNormal="100" workbookViewId="0">
      <pane ySplit="1" topLeftCell="A2" activePane="bottomLeft" state="frozen"/>
      <selection pane="bottomLeft" activeCell="L248" sqref="L248"/>
    </sheetView>
  </sheetViews>
  <sheetFormatPr defaultRowHeight="14" x14ac:dyDescent="0.3"/>
  <cols>
    <col min="1" max="1" width="14.3984375" style="1" customWidth="1"/>
    <col min="2" max="2" width="9.3984375" style="1" customWidth="1"/>
    <col min="3" max="3" width="22.296875" style="1" customWidth="1"/>
    <col min="4" max="4" width="11.09765625" style="1" bestFit="1" customWidth="1"/>
    <col min="5" max="5" width="18.296875" style="1" customWidth="1"/>
    <col min="6" max="6" width="11.5" style="4" customWidth="1"/>
    <col min="7" max="7" width="12.3984375" style="3" customWidth="1"/>
    <col min="8" max="8" width="13.09765625" style="8" customWidth="1"/>
    <col min="9" max="10" width="11.19921875" style="4" bestFit="1" customWidth="1"/>
    <col min="11" max="11" width="13.09765625" style="8" customWidth="1"/>
    <col min="12" max="12" width="14" style="4" customWidth="1"/>
    <col min="13" max="13" width="11.796875" style="1" customWidth="1"/>
    <col min="14" max="14" width="6.09765625" style="3" customWidth="1"/>
    <col min="15" max="15" width="14.5" style="5" customWidth="1"/>
    <col min="16" max="16" width="14" style="5" customWidth="1"/>
    <col min="17" max="17" width="13" style="1" customWidth="1"/>
    <col min="18" max="16384" width="8.796875" style="1"/>
  </cols>
  <sheetData>
    <row r="1" spans="1:17" s="42" customFormat="1" ht="25.5" customHeight="1" x14ac:dyDescent="0.3">
      <c r="A1" s="42" t="s">
        <v>3496</v>
      </c>
      <c r="B1" s="42" t="s">
        <v>3487</v>
      </c>
      <c r="C1" s="42" t="s">
        <v>3497</v>
      </c>
      <c r="D1" s="42" t="s">
        <v>3478</v>
      </c>
      <c r="E1" s="42" t="s">
        <v>3479</v>
      </c>
      <c r="F1" s="43" t="s">
        <v>3526</v>
      </c>
      <c r="G1" s="44" t="s">
        <v>3498</v>
      </c>
      <c r="H1" s="45" t="s">
        <v>3499</v>
      </c>
      <c r="I1" s="43" t="s">
        <v>3500</v>
      </c>
      <c r="J1" s="43" t="s">
        <v>3501</v>
      </c>
      <c r="K1" s="45" t="s">
        <v>3527</v>
      </c>
      <c r="L1" s="43" t="s">
        <v>3502</v>
      </c>
      <c r="M1" s="42" t="s">
        <v>3503</v>
      </c>
      <c r="N1" s="44" t="s">
        <v>3504</v>
      </c>
      <c r="O1" s="46" t="s">
        <v>3507</v>
      </c>
      <c r="P1" s="46" t="s">
        <v>3505</v>
      </c>
      <c r="Q1" s="42" t="s">
        <v>3506</v>
      </c>
    </row>
    <row r="2" spans="1:17" x14ac:dyDescent="0.3">
      <c r="A2" s="1" t="s">
        <v>2854</v>
      </c>
      <c r="B2" s="1" t="s">
        <v>2222</v>
      </c>
      <c r="C2" s="1" t="str">
        <f>VLOOKUP(Apps[[#This Row],[CandID]],Cands[[CandID]:[Cand_Name]],2,0)</f>
        <v>Va Chhunheng</v>
      </c>
      <c r="D2" s="1" t="s">
        <v>99</v>
      </c>
      <c r="E2" s="1" t="str">
        <f>_xlfn.IFNA(VLOOKUP(Apps[[#This Row],[PostID]],Posts[[PostID]:[Position]],2,0),"")</f>
        <v>Deputy Marketing Manager (event)</v>
      </c>
      <c r="F2" s="4">
        <v>45261</v>
      </c>
      <c r="G2" s="3" t="s">
        <v>2845</v>
      </c>
      <c r="M2" s="3"/>
    </row>
    <row r="3" spans="1:17" x14ac:dyDescent="0.3">
      <c r="A3" s="1" t="s">
        <v>2855</v>
      </c>
      <c r="B3" s="1" t="s">
        <v>2225</v>
      </c>
      <c r="C3" s="1" t="str">
        <f>VLOOKUP(Apps[[#This Row],[CandID]],Cands[[CandID]:[Cand_Name]],2,0)</f>
        <v>Touch Bora</v>
      </c>
      <c r="D3" s="1" t="s">
        <v>98</v>
      </c>
      <c r="E3" s="1" t="str">
        <f>_xlfn.IFNA(VLOOKUP(Apps[[#This Row],[PostID]],Posts[[PostID]:[Position]],2,0),"")</f>
        <v>Marketing Manager</v>
      </c>
      <c r="F3" s="4">
        <v>45292</v>
      </c>
      <c r="G3" s="3" t="s">
        <v>2846</v>
      </c>
      <c r="H3" s="8" t="s">
        <v>3477</v>
      </c>
      <c r="I3" s="4">
        <v>45292</v>
      </c>
      <c r="M3" s="3"/>
    </row>
    <row r="4" spans="1:17" x14ac:dyDescent="0.3">
      <c r="A4" s="1" t="s">
        <v>2856</v>
      </c>
      <c r="B4" s="1" t="s">
        <v>2226</v>
      </c>
      <c r="C4" s="1" t="str">
        <f>VLOOKUP(Apps[[#This Row],[CandID]],Cands[[CandID]:[Cand_Name]],2,0)</f>
        <v>Nim Nara</v>
      </c>
      <c r="D4" s="1" t="s">
        <v>100</v>
      </c>
      <c r="E4" s="1" t="str">
        <f>_xlfn.IFNA(VLOOKUP(Apps[[#This Row],[PostID]],Posts[[PostID]:[Position]],2,0),"")</f>
        <v>Sales Director</v>
      </c>
      <c r="F4" s="4">
        <v>45261</v>
      </c>
      <c r="G4" s="3" t="s">
        <v>2846</v>
      </c>
      <c r="M4" s="3"/>
    </row>
    <row r="5" spans="1:17" x14ac:dyDescent="0.3">
      <c r="A5" s="1" t="s">
        <v>2857</v>
      </c>
      <c r="B5" s="1" t="s">
        <v>2227</v>
      </c>
      <c r="C5" s="1" t="str">
        <f>VLOOKUP(Apps[[#This Row],[CandID]],Cands[[CandID]:[Cand_Name]],2,0)</f>
        <v>Sean Vattanak</v>
      </c>
      <c r="D5" s="1" t="s">
        <v>126</v>
      </c>
      <c r="E5" s="1" t="str">
        <f>_xlfn.IFNA(VLOOKUP(Apps[[#This Row],[PostID]],Posts[[PostID]:[Position]],2,0),"")</f>
        <v>Architect</v>
      </c>
      <c r="F5" s="4">
        <v>45261</v>
      </c>
      <c r="G5" s="3" t="s">
        <v>2847</v>
      </c>
      <c r="M5" s="3"/>
    </row>
    <row r="6" spans="1:17" x14ac:dyDescent="0.3">
      <c r="A6" s="1" t="s">
        <v>2858</v>
      </c>
      <c r="B6" s="1" t="s">
        <v>2228</v>
      </c>
      <c r="C6" s="1" t="str">
        <f>VLOOKUP(Apps[[#This Row],[CandID]],Cands[[CandID]:[Cand_Name]],2,0)</f>
        <v>Phy Sovadhana</v>
      </c>
      <c r="D6" s="1" t="s">
        <v>94</v>
      </c>
      <c r="E6" s="1" t="str">
        <f>_xlfn.IFNA(VLOOKUP(Apps[[#This Row],[PostID]],Posts[[PostID]:[Position]],2,0),"")</f>
        <v>Farm Manager</v>
      </c>
      <c r="F6" s="4">
        <v>45292</v>
      </c>
      <c r="G6" s="3" t="s">
        <v>2848</v>
      </c>
      <c r="H6" s="8" t="s">
        <v>3477</v>
      </c>
      <c r="I6" s="4">
        <v>45295</v>
      </c>
      <c r="K6" s="8" t="s">
        <v>3521</v>
      </c>
      <c r="M6" s="3"/>
      <c r="N6" s="3" t="s">
        <v>3477</v>
      </c>
      <c r="P6" s="5">
        <v>4000</v>
      </c>
    </row>
    <row r="7" spans="1:17" x14ac:dyDescent="0.3">
      <c r="A7" s="1" t="s">
        <v>2859</v>
      </c>
      <c r="B7" s="1" t="s">
        <v>2229</v>
      </c>
      <c r="C7" s="1" t="str">
        <f>VLOOKUP(Apps[[#This Row],[CandID]],Cands[[CandID]:[Cand_Name]],2,0)</f>
        <v>Leng Vannarith</v>
      </c>
      <c r="D7" s="1" t="s">
        <v>93</v>
      </c>
      <c r="E7" s="1" t="str">
        <f>_xlfn.IFNA(VLOOKUP(Apps[[#This Row],[PostID]],Posts[[PostID]:[Position]],2,0),"")</f>
        <v>Finance Director</v>
      </c>
      <c r="F7" s="4">
        <v>45292</v>
      </c>
      <c r="G7" s="3" t="s">
        <v>2845</v>
      </c>
      <c r="H7" s="8" t="s">
        <v>3475</v>
      </c>
      <c r="K7" s="8" t="s">
        <v>3521</v>
      </c>
      <c r="M7" s="3"/>
      <c r="O7" s="5">
        <v>5000</v>
      </c>
      <c r="P7" s="5">
        <v>7000</v>
      </c>
    </row>
    <row r="8" spans="1:17" x14ac:dyDescent="0.3">
      <c r="A8" s="1" t="s">
        <v>2860</v>
      </c>
      <c r="B8" s="1" t="s">
        <v>2230</v>
      </c>
      <c r="C8" s="1" t="str">
        <f>VLOOKUP(Apps[[#This Row],[CandID]],Cands[[CandID]:[Cand_Name]],2,0)</f>
        <v>Chan Sam Onn</v>
      </c>
      <c r="D8" s="1" t="s">
        <v>94</v>
      </c>
      <c r="E8" s="1" t="str">
        <f>_xlfn.IFNA(VLOOKUP(Apps[[#This Row],[PostID]],Posts[[PostID]:[Position]],2,0),"")</f>
        <v>Farm Manager</v>
      </c>
      <c r="F8" s="4">
        <v>45292</v>
      </c>
      <c r="G8" s="3" t="s">
        <v>2845</v>
      </c>
      <c r="H8" s="8" t="s">
        <v>3475</v>
      </c>
      <c r="K8" s="8" t="s">
        <v>3521</v>
      </c>
      <c r="M8" s="3"/>
      <c r="P8" s="5">
        <v>1600</v>
      </c>
    </row>
    <row r="9" spans="1:17" x14ac:dyDescent="0.3">
      <c r="A9" s="1" t="s">
        <v>2861</v>
      </c>
      <c r="B9" s="1" t="s">
        <v>2223</v>
      </c>
      <c r="C9" s="1" t="str">
        <f>VLOOKUP(Apps[[#This Row],[CandID]],Cands[[CandID]:[Cand_Name]],2,0)</f>
        <v>Leng Channy</v>
      </c>
      <c r="D9" s="1" t="s">
        <v>92</v>
      </c>
      <c r="E9" s="1" t="str">
        <f>_xlfn.IFNA(VLOOKUP(Apps[[#This Row],[PostID]],Posts[[PostID]:[Position]],2,0),"")</f>
        <v>Finance Manager</v>
      </c>
      <c r="F9" s="4">
        <v>45292</v>
      </c>
      <c r="G9" s="3" t="s">
        <v>2847</v>
      </c>
      <c r="H9" s="8" t="s">
        <v>3475</v>
      </c>
      <c r="K9" s="8" t="s">
        <v>3521</v>
      </c>
      <c r="M9" s="3"/>
      <c r="O9" s="5">
        <v>950</v>
      </c>
      <c r="P9" s="5">
        <v>700</v>
      </c>
    </row>
    <row r="10" spans="1:17" x14ac:dyDescent="0.3">
      <c r="A10" s="1" t="s">
        <v>2862</v>
      </c>
      <c r="B10" s="1" t="s">
        <v>2224</v>
      </c>
      <c r="C10" s="1" t="str">
        <f>VLOOKUP(Apps[[#This Row],[CandID]],Cands[[CandID]:[Cand_Name]],2,0)</f>
        <v>Leng Chanra</v>
      </c>
      <c r="D10" s="1" t="s">
        <v>125</v>
      </c>
      <c r="E10" s="1" t="str">
        <f>_xlfn.IFNA(VLOOKUP(Apps[[#This Row],[PostID]],Posts[[PostID]:[Position]],2,0),"")</f>
        <v>Project Accounting Officer</v>
      </c>
      <c r="F10" s="4">
        <v>45261</v>
      </c>
      <c r="G10" s="3" t="s">
        <v>2847</v>
      </c>
      <c r="M10" s="3"/>
    </row>
    <row r="11" spans="1:17" x14ac:dyDescent="0.3">
      <c r="A11" s="1" t="s">
        <v>2863</v>
      </c>
      <c r="B11" s="1" t="s">
        <v>2231</v>
      </c>
      <c r="C11" s="1" t="str">
        <f>VLOOKUP(Apps[[#This Row],[CandID]],Cands[[CandID]:[Cand_Name]],2,0)</f>
        <v>Phin Vanna</v>
      </c>
      <c r="D11" s="1" t="s">
        <v>99</v>
      </c>
      <c r="E11" s="1" t="str">
        <f>_xlfn.IFNA(VLOOKUP(Apps[[#This Row],[PostID]],Posts[[PostID]:[Position]],2,0),"")</f>
        <v>Deputy Marketing Manager (event)</v>
      </c>
      <c r="F11" s="4">
        <v>45261</v>
      </c>
      <c r="G11" s="3" t="s">
        <v>2847</v>
      </c>
      <c r="M11" s="3"/>
    </row>
    <row r="12" spans="1:17" x14ac:dyDescent="0.3">
      <c r="A12" s="1" t="s">
        <v>2864</v>
      </c>
      <c r="B12" s="1" t="s">
        <v>2232</v>
      </c>
      <c r="C12" s="1" t="str">
        <f>VLOOKUP(Apps[[#This Row],[CandID]],Cands[[CandID]:[Cand_Name]],2,0)</f>
        <v>Fortunato Asma</v>
      </c>
      <c r="D12" s="1" t="s">
        <v>99</v>
      </c>
      <c r="E12" s="1" t="str">
        <f>_xlfn.IFNA(VLOOKUP(Apps[[#This Row],[PostID]],Posts[[PostID]:[Position]],2,0),"")</f>
        <v>Deputy Marketing Manager (event)</v>
      </c>
      <c r="F12" s="4">
        <v>45261</v>
      </c>
      <c r="G12" s="3" t="s">
        <v>2848</v>
      </c>
      <c r="M12" s="3"/>
    </row>
    <row r="13" spans="1:17" x14ac:dyDescent="0.3">
      <c r="A13" s="1" t="s">
        <v>2865</v>
      </c>
      <c r="B13" s="1" t="s">
        <v>2233</v>
      </c>
      <c r="C13" s="1" t="str">
        <f>VLOOKUP(Apps[[#This Row],[CandID]],Cands[[CandID]:[Cand_Name]],2,0)</f>
        <v>Seang Sokha</v>
      </c>
      <c r="D13" s="1" t="s">
        <v>125</v>
      </c>
      <c r="E13" s="1" t="str">
        <f>_xlfn.IFNA(VLOOKUP(Apps[[#This Row],[PostID]],Posts[[PostID]:[Position]],2,0),"")</f>
        <v>Project Accounting Officer</v>
      </c>
      <c r="F13" s="4">
        <v>45292</v>
      </c>
      <c r="G13" s="3" t="s">
        <v>2848</v>
      </c>
      <c r="H13" s="8" t="s">
        <v>3475</v>
      </c>
      <c r="K13" s="8" t="s">
        <v>3521</v>
      </c>
      <c r="M13" s="3"/>
    </row>
    <row r="14" spans="1:17" x14ac:dyDescent="0.3">
      <c r="A14" s="1" t="s">
        <v>2866</v>
      </c>
      <c r="B14" s="1" t="s">
        <v>2234</v>
      </c>
      <c r="C14" s="1" t="str">
        <f>VLOOKUP(Apps[[#This Row],[CandID]],Cands[[CandID]:[Cand_Name]],2,0)</f>
        <v>Lengcheng Vy</v>
      </c>
      <c r="D14" s="1" t="s">
        <v>94</v>
      </c>
      <c r="E14" s="1" t="str">
        <f>_xlfn.IFNA(VLOOKUP(Apps[[#This Row],[PostID]],Posts[[PostID]:[Position]],2,0),"")</f>
        <v>Farm Manager</v>
      </c>
      <c r="F14" s="4">
        <v>45261</v>
      </c>
      <c r="G14" s="3" t="s">
        <v>2848</v>
      </c>
      <c r="H14" s="8" t="s">
        <v>3477</v>
      </c>
      <c r="M14" s="3"/>
      <c r="P14" s="5">
        <v>1250</v>
      </c>
    </row>
    <row r="15" spans="1:17" x14ac:dyDescent="0.3">
      <c r="A15" s="1" t="s">
        <v>2867</v>
      </c>
      <c r="B15" s="1" t="s">
        <v>2235</v>
      </c>
      <c r="C15" s="1" t="str">
        <f>VLOOKUP(Apps[[#This Row],[CandID]],Cands[[CandID]:[Cand_Name]],2,0)</f>
        <v>Hour Sreypov</v>
      </c>
      <c r="E15" s="1" t="str">
        <f>_xlfn.IFNA(VLOOKUP(Apps[[#This Row],[PostID]],Posts[[PostID]:[Position]],2,0),"")</f>
        <v/>
      </c>
      <c r="F15" s="4">
        <v>45292</v>
      </c>
      <c r="G15" s="3" t="s">
        <v>2849</v>
      </c>
      <c r="H15" s="8" t="s">
        <v>3477</v>
      </c>
      <c r="I15" s="4">
        <v>45292</v>
      </c>
      <c r="K15" s="8" t="s">
        <v>3521</v>
      </c>
      <c r="M15" s="3"/>
      <c r="N15" s="3" t="s">
        <v>3477</v>
      </c>
      <c r="O15" s="5">
        <v>733</v>
      </c>
    </row>
    <row r="16" spans="1:17" x14ac:dyDescent="0.3">
      <c r="A16" s="1" t="s">
        <v>2868</v>
      </c>
      <c r="B16" s="1" t="s">
        <v>2236</v>
      </c>
      <c r="C16" s="1" t="str">
        <f>VLOOKUP(Apps[[#This Row],[CandID]],Cands[[CandID]:[Cand_Name]],2,0)</f>
        <v>But Kakada</v>
      </c>
      <c r="D16" s="1" t="s">
        <v>126</v>
      </c>
      <c r="E16" s="1" t="str">
        <f>_xlfn.IFNA(VLOOKUP(Apps[[#This Row],[PostID]],Posts[[PostID]:[Position]],2,0),"")</f>
        <v>Architect</v>
      </c>
      <c r="F16" s="4">
        <v>45261</v>
      </c>
      <c r="G16" s="3" t="s">
        <v>2849</v>
      </c>
      <c r="M16" s="3"/>
    </row>
    <row r="17" spans="1:16" x14ac:dyDescent="0.3">
      <c r="A17" s="1" t="s">
        <v>2869</v>
      </c>
      <c r="B17" s="1" t="s">
        <v>2237</v>
      </c>
      <c r="C17" s="1" t="str">
        <f>VLOOKUP(Apps[[#This Row],[CandID]],Cands[[CandID]:[Cand_Name]],2,0)</f>
        <v>Lim Sovannchanliza</v>
      </c>
      <c r="E17" s="1" t="str">
        <f>_xlfn.IFNA(VLOOKUP(Apps[[#This Row],[PostID]],Posts[[PostID]:[Position]],2,0),"")</f>
        <v/>
      </c>
      <c r="F17" s="4">
        <v>45261</v>
      </c>
      <c r="G17" s="3" t="s">
        <v>2849</v>
      </c>
      <c r="H17" s="8" t="s">
        <v>3477</v>
      </c>
      <c r="K17" s="8" t="s">
        <v>3521</v>
      </c>
      <c r="M17" s="3"/>
      <c r="N17" s="3" t="s">
        <v>3477</v>
      </c>
      <c r="O17" s="5">
        <v>350</v>
      </c>
    </row>
    <row r="18" spans="1:16" x14ac:dyDescent="0.3">
      <c r="A18" s="1" t="s">
        <v>2870</v>
      </c>
      <c r="B18" s="1" t="s">
        <v>2238</v>
      </c>
      <c r="C18" s="1" t="str">
        <f>VLOOKUP(Apps[[#This Row],[CandID]],Cands[[CandID]:[Cand_Name]],2,0)</f>
        <v>Hun Sokhim</v>
      </c>
      <c r="D18" s="1" t="s">
        <v>125</v>
      </c>
      <c r="E18" s="1" t="str">
        <f>_xlfn.IFNA(VLOOKUP(Apps[[#This Row],[PostID]],Posts[[PostID]:[Position]],2,0),"")</f>
        <v>Project Accounting Officer</v>
      </c>
      <c r="F18" s="4">
        <v>45261</v>
      </c>
      <c r="G18" s="3" t="s">
        <v>2849</v>
      </c>
      <c r="M18" s="3"/>
    </row>
    <row r="19" spans="1:16" x14ac:dyDescent="0.3">
      <c r="A19" s="1" t="s">
        <v>2871</v>
      </c>
      <c r="B19" s="1" t="s">
        <v>2239</v>
      </c>
      <c r="C19" s="1" t="str">
        <f>VLOOKUP(Apps[[#This Row],[CandID]],Cands[[CandID]:[Cand_Name]],2,0)</f>
        <v>Sut Phalla</v>
      </c>
      <c r="E19" s="1" t="str">
        <f>_xlfn.IFNA(VLOOKUP(Apps[[#This Row],[PostID]],Posts[[PostID]:[Position]],2,0),"")</f>
        <v/>
      </c>
      <c r="F19" s="4">
        <v>45292</v>
      </c>
      <c r="G19" s="3" t="s">
        <v>2849</v>
      </c>
      <c r="H19" s="8" t="s">
        <v>3477</v>
      </c>
      <c r="I19" s="4">
        <v>45292</v>
      </c>
      <c r="K19" s="8" t="s">
        <v>3521</v>
      </c>
      <c r="M19" s="3"/>
      <c r="N19" s="3" t="s">
        <v>3477</v>
      </c>
      <c r="O19" s="5">
        <v>450</v>
      </c>
    </row>
    <row r="20" spans="1:16" x14ac:dyDescent="0.3">
      <c r="A20" s="1" t="s">
        <v>2872</v>
      </c>
      <c r="B20" s="1" t="s">
        <v>2240</v>
      </c>
      <c r="C20" s="1" t="str">
        <f>VLOOKUP(Apps[[#This Row],[CandID]],Cands[[CandID]:[Cand_Name]],2,0)</f>
        <v>Chou Chu Meng</v>
      </c>
      <c r="D20" s="1" t="s">
        <v>94</v>
      </c>
      <c r="E20" s="1" t="str">
        <f>_xlfn.IFNA(VLOOKUP(Apps[[#This Row],[PostID]],Posts[[PostID]:[Position]],2,0),"")</f>
        <v>Farm Manager</v>
      </c>
      <c r="F20" s="4">
        <v>45292</v>
      </c>
      <c r="G20" s="3" t="s">
        <v>2849</v>
      </c>
      <c r="H20" s="8" t="s">
        <v>3477</v>
      </c>
      <c r="I20" s="4">
        <v>45292</v>
      </c>
      <c r="K20" s="8" t="s">
        <v>3521</v>
      </c>
      <c r="M20" s="3"/>
      <c r="N20" s="3" t="s">
        <v>3477</v>
      </c>
      <c r="P20" s="5">
        <v>950</v>
      </c>
    </row>
    <row r="21" spans="1:16" x14ac:dyDescent="0.3">
      <c r="A21" s="1" t="s">
        <v>2873</v>
      </c>
      <c r="B21" s="1" t="s">
        <v>2241</v>
      </c>
      <c r="C21" s="1" t="str">
        <f>VLOOKUP(Apps[[#This Row],[CandID]],Cands[[CandID]:[Cand_Name]],2,0)</f>
        <v>Choem Bopha</v>
      </c>
      <c r="D21" s="1" t="s">
        <v>125</v>
      </c>
      <c r="E21" s="1" t="str">
        <f>_xlfn.IFNA(VLOOKUP(Apps[[#This Row],[PostID]],Posts[[PostID]:[Position]],2,0),"")</f>
        <v>Project Accounting Officer</v>
      </c>
      <c r="F21" s="4">
        <v>45261</v>
      </c>
      <c r="G21" s="3" t="s">
        <v>2849</v>
      </c>
      <c r="M21" s="3"/>
    </row>
    <row r="22" spans="1:16" x14ac:dyDescent="0.3">
      <c r="A22" s="1" t="s">
        <v>2874</v>
      </c>
      <c r="B22" s="1" t="s">
        <v>2242</v>
      </c>
      <c r="C22" s="1" t="str">
        <f>VLOOKUP(Apps[[#This Row],[CandID]],Cands[[CandID]:[Cand_Name]],2,0)</f>
        <v>Heng Menghour</v>
      </c>
      <c r="D22" s="1" t="s">
        <v>91</v>
      </c>
      <c r="E22" s="1" t="str">
        <f>_xlfn.IFNA(VLOOKUP(Apps[[#This Row],[PostID]],Posts[[PostID]:[Position]],2,0),"")</f>
        <v>Financial Controller</v>
      </c>
      <c r="F22" s="4">
        <v>45292</v>
      </c>
      <c r="G22" s="3" t="s">
        <v>2849</v>
      </c>
      <c r="H22" s="8" t="s">
        <v>3477</v>
      </c>
      <c r="I22" s="4">
        <v>45292</v>
      </c>
      <c r="K22" s="8" t="s">
        <v>3521</v>
      </c>
      <c r="M22" s="3"/>
      <c r="N22" s="3" t="s">
        <v>3477</v>
      </c>
      <c r="O22" s="5">
        <v>4500</v>
      </c>
      <c r="P22" s="5">
        <v>3500</v>
      </c>
    </row>
    <row r="23" spans="1:16" x14ac:dyDescent="0.3">
      <c r="A23" s="1" t="s">
        <v>2875</v>
      </c>
      <c r="B23" s="1" t="s">
        <v>2243</v>
      </c>
      <c r="C23" s="1" t="str">
        <f>VLOOKUP(Apps[[#This Row],[CandID]],Cands[[CandID]:[Cand_Name]],2,0)</f>
        <v>Hong Vichout</v>
      </c>
      <c r="D23" s="1" t="s">
        <v>126</v>
      </c>
      <c r="E23" s="1" t="str">
        <f>_xlfn.IFNA(VLOOKUP(Apps[[#This Row],[PostID]],Posts[[PostID]:[Position]],2,0),"")</f>
        <v>Architect</v>
      </c>
      <c r="F23" s="4">
        <v>45292</v>
      </c>
      <c r="G23" s="3" t="s">
        <v>2848</v>
      </c>
      <c r="H23" s="8" t="s">
        <v>3477</v>
      </c>
      <c r="I23" s="4">
        <v>45292</v>
      </c>
      <c r="K23" s="8" t="s">
        <v>3521</v>
      </c>
      <c r="M23" s="3"/>
      <c r="N23" s="3" t="s">
        <v>3477</v>
      </c>
    </row>
    <row r="24" spans="1:16" x14ac:dyDescent="0.3">
      <c r="A24" s="1" t="s">
        <v>2876</v>
      </c>
      <c r="B24" s="1" t="s">
        <v>2244</v>
      </c>
      <c r="C24" s="1" t="str">
        <f>VLOOKUP(Apps[[#This Row],[CandID]],Cands[[CandID]:[Cand_Name]],2,0)</f>
        <v>Long Somethie</v>
      </c>
      <c r="D24" s="1" t="s">
        <v>91</v>
      </c>
      <c r="E24" s="1" t="str">
        <f>_xlfn.IFNA(VLOOKUP(Apps[[#This Row],[PostID]],Posts[[PostID]:[Position]],2,0),"")</f>
        <v>Financial Controller</v>
      </c>
      <c r="F24" s="4">
        <v>45292</v>
      </c>
      <c r="G24" s="3" t="s">
        <v>2848</v>
      </c>
      <c r="H24" s="8" t="s">
        <v>3477</v>
      </c>
      <c r="I24" s="4">
        <v>45294</v>
      </c>
      <c r="K24" s="8" t="s">
        <v>3521</v>
      </c>
      <c r="M24" s="3"/>
      <c r="N24" s="3" t="s">
        <v>3477</v>
      </c>
      <c r="O24" s="5">
        <v>2700</v>
      </c>
      <c r="P24" s="5">
        <v>3200</v>
      </c>
    </row>
    <row r="25" spans="1:16" x14ac:dyDescent="0.3">
      <c r="A25" s="1" t="s">
        <v>2877</v>
      </c>
      <c r="B25" s="1" t="s">
        <v>2245</v>
      </c>
      <c r="C25" s="1" t="str">
        <f>VLOOKUP(Apps[[#This Row],[CandID]],Cands[[CandID]:[Cand_Name]],2,0)</f>
        <v>Taing Pengpheng</v>
      </c>
      <c r="D25" s="1" t="s">
        <v>91</v>
      </c>
      <c r="E25" s="1" t="str">
        <f>_xlfn.IFNA(VLOOKUP(Apps[[#This Row],[PostID]],Posts[[PostID]:[Position]],2,0),"")</f>
        <v>Financial Controller</v>
      </c>
      <c r="F25" s="4">
        <v>45261</v>
      </c>
      <c r="G25" s="3" t="s">
        <v>2848</v>
      </c>
      <c r="M25" s="3"/>
    </row>
    <row r="26" spans="1:16" x14ac:dyDescent="0.3">
      <c r="A26" s="1" t="s">
        <v>2878</v>
      </c>
      <c r="B26" s="1" t="s">
        <v>2246</v>
      </c>
      <c r="C26" s="1" t="str">
        <f>VLOOKUP(Apps[[#This Row],[CandID]],Cands[[CandID]:[Cand_Name]],2,0)</f>
        <v>Sim Sreyleak</v>
      </c>
      <c r="D26" s="1" t="s">
        <v>91</v>
      </c>
      <c r="E26" s="1" t="str">
        <f>_xlfn.IFNA(VLOOKUP(Apps[[#This Row],[PostID]],Posts[[PostID]:[Position]],2,0),"")</f>
        <v>Financial Controller</v>
      </c>
      <c r="F26" s="4">
        <v>45292</v>
      </c>
      <c r="G26" s="3" t="s">
        <v>2848</v>
      </c>
      <c r="H26" s="8" t="s">
        <v>3475</v>
      </c>
      <c r="K26" s="8" t="s">
        <v>3521</v>
      </c>
      <c r="M26" s="3"/>
      <c r="O26" s="5">
        <v>1500</v>
      </c>
    </row>
    <row r="27" spans="1:16" x14ac:dyDescent="0.3">
      <c r="A27" s="1" t="s">
        <v>2879</v>
      </c>
      <c r="B27" s="1" t="s">
        <v>2247</v>
      </c>
      <c r="C27" s="1" t="str">
        <f>VLOOKUP(Apps[[#This Row],[CandID]],Cands[[CandID]:[Cand_Name]],2,0)</f>
        <v>Korn Tola</v>
      </c>
      <c r="D27" s="1" t="s">
        <v>126</v>
      </c>
      <c r="E27" s="1" t="str">
        <f>_xlfn.IFNA(VLOOKUP(Apps[[#This Row],[PostID]],Posts[[PostID]:[Position]],2,0),"")</f>
        <v>Architect</v>
      </c>
      <c r="F27" s="4">
        <v>45292</v>
      </c>
      <c r="G27" s="3" t="s">
        <v>2848</v>
      </c>
      <c r="H27" s="8" t="s">
        <v>3477</v>
      </c>
      <c r="I27" s="4">
        <v>45292</v>
      </c>
      <c r="K27" s="8" t="s">
        <v>3521</v>
      </c>
      <c r="M27" s="3"/>
      <c r="N27" s="3" t="s">
        <v>3477</v>
      </c>
      <c r="O27" s="5">
        <v>420</v>
      </c>
      <c r="P27" s="5">
        <v>550</v>
      </c>
    </row>
    <row r="28" spans="1:16" x14ac:dyDescent="0.3">
      <c r="A28" s="1" t="s">
        <v>2880</v>
      </c>
      <c r="B28" s="1" t="s">
        <v>2248</v>
      </c>
      <c r="C28" s="1" t="str">
        <f>VLOOKUP(Apps[[#This Row],[CandID]],Cands[[CandID]:[Cand_Name]],2,0)</f>
        <v>Nget Synat</v>
      </c>
      <c r="D28" s="1" t="s">
        <v>91</v>
      </c>
      <c r="E28" s="1" t="str">
        <f>_xlfn.IFNA(VLOOKUP(Apps[[#This Row],[PostID]],Posts[[PostID]:[Position]],2,0),"")</f>
        <v>Financial Controller</v>
      </c>
      <c r="F28" s="4">
        <v>45261</v>
      </c>
      <c r="G28" s="3" t="s">
        <v>2848</v>
      </c>
      <c r="M28" s="3"/>
    </row>
    <row r="29" spans="1:16" x14ac:dyDescent="0.3">
      <c r="A29" s="1" t="s">
        <v>2881</v>
      </c>
      <c r="B29" s="1" t="s">
        <v>2249</v>
      </c>
      <c r="C29" s="1" t="str">
        <f>VLOOKUP(Apps[[#This Row],[CandID]],Cands[[CandID]:[Cand_Name]],2,0)</f>
        <v>En Somphin</v>
      </c>
      <c r="D29" s="1" t="s">
        <v>91</v>
      </c>
      <c r="E29" s="1" t="str">
        <f>_xlfn.IFNA(VLOOKUP(Apps[[#This Row],[PostID]],Posts[[PostID]:[Position]],2,0),"")</f>
        <v>Financial Controller</v>
      </c>
      <c r="F29" s="4">
        <v>45292</v>
      </c>
      <c r="G29" s="3" t="s">
        <v>2848</v>
      </c>
      <c r="H29" s="8" t="s">
        <v>3475</v>
      </c>
      <c r="K29" s="8" t="s">
        <v>3521</v>
      </c>
      <c r="M29" s="3"/>
    </row>
    <row r="30" spans="1:16" x14ac:dyDescent="0.3">
      <c r="A30" s="1" t="s">
        <v>2882</v>
      </c>
      <c r="B30" s="1" t="s">
        <v>2250</v>
      </c>
      <c r="C30" s="1" t="str">
        <f>VLOOKUP(Apps[[#This Row],[CandID]],Cands[[CandID]:[Cand_Name]],2,0)</f>
        <v>Hout Rothana</v>
      </c>
      <c r="D30" s="1" t="s">
        <v>94</v>
      </c>
      <c r="E30" s="1" t="str">
        <f>_xlfn.IFNA(VLOOKUP(Apps[[#This Row],[PostID]],Posts[[PostID]:[Position]],2,0),"")</f>
        <v>Farm Manager</v>
      </c>
      <c r="F30" s="4">
        <v>45292</v>
      </c>
      <c r="G30" s="3" t="s">
        <v>2848</v>
      </c>
      <c r="H30" s="8" t="s">
        <v>3477</v>
      </c>
      <c r="I30" s="4">
        <v>45292</v>
      </c>
      <c r="K30" s="8" t="s">
        <v>3521</v>
      </c>
      <c r="M30" s="3"/>
      <c r="N30" s="3" t="s">
        <v>3477</v>
      </c>
      <c r="O30" s="5">
        <v>800</v>
      </c>
      <c r="P30" s="5">
        <v>700</v>
      </c>
    </row>
    <row r="31" spans="1:16" x14ac:dyDescent="0.3">
      <c r="A31" s="1" t="s">
        <v>2883</v>
      </c>
      <c r="B31" s="1" t="s">
        <v>2251</v>
      </c>
      <c r="C31" s="1" t="str">
        <f>VLOOKUP(Apps[[#This Row],[CandID]],Cands[[CandID]:[Cand_Name]],2,0)</f>
        <v>Phan Sonhat</v>
      </c>
      <c r="D31" s="1" t="s">
        <v>126</v>
      </c>
      <c r="E31" s="1" t="str">
        <f>_xlfn.IFNA(VLOOKUP(Apps[[#This Row],[PostID]],Posts[[PostID]:[Position]],2,0),"")</f>
        <v>Architect</v>
      </c>
      <c r="F31" s="4">
        <v>45261</v>
      </c>
      <c r="G31" s="3" t="s">
        <v>2848</v>
      </c>
      <c r="H31" s="8" t="s">
        <v>3477</v>
      </c>
      <c r="M31" s="3"/>
    </row>
    <row r="32" spans="1:16" x14ac:dyDescent="0.3">
      <c r="A32" s="1" t="s">
        <v>2884</v>
      </c>
      <c r="B32" s="1" t="s">
        <v>2252</v>
      </c>
      <c r="C32" s="1" t="str">
        <f>VLOOKUP(Apps[[#This Row],[CandID]],Cands[[CandID]:[Cand_Name]],2,0)</f>
        <v>Sophany Hong</v>
      </c>
      <c r="D32" s="1" t="s">
        <v>99</v>
      </c>
      <c r="E32" s="1" t="str">
        <f>_xlfn.IFNA(VLOOKUP(Apps[[#This Row],[PostID]],Posts[[PostID]:[Position]],2,0),"")</f>
        <v>Deputy Marketing Manager (event)</v>
      </c>
      <c r="F32" s="4">
        <v>45261</v>
      </c>
      <c r="G32" s="3" t="s">
        <v>2847</v>
      </c>
      <c r="H32" s="8" t="s">
        <v>3477</v>
      </c>
      <c r="M32" s="3"/>
    </row>
    <row r="33" spans="1:16" x14ac:dyDescent="0.3">
      <c r="A33" s="1" t="s">
        <v>2885</v>
      </c>
      <c r="B33" s="1" t="s">
        <v>2253</v>
      </c>
      <c r="C33" s="1" t="str">
        <f>VLOOKUP(Apps[[#This Row],[CandID]],Cands[[CandID]:[Cand_Name]],2,0)</f>
        <v>Hin Han</v>
      </c>
      <c r="D33" s="1" t="s">
        <v>99</v>
      </c>
      <c r="E33" s="1" t="str">
        <f>_xlfn.IFNA(VLOOKUP(Apps[[#This Row],[PostID]],Posts[[PostID]:[Position]],2,0),"")</f>
        <v>Deputy Marketing Manager (event)</v>
      </c>
      <c r="F33" s="4">
        <v>45261</v>
      </c>
      <c r="G33" s="3" t="s">
        <v>2847</v>
      </c>
      <c r="M33" s="3"/>
    </row>
    <row r="34" spans="1:16" x14ac:dyDescent="0.3">
      <c r="A34" s="1" t="s">
        <v>2886</v>
      </c>
      <c r="B34" s="1" t="s">
        <v>2254</v>
      </c>
      <c r="C34" s="1" t="str">
        <f>VLOOKUP(Apps[[#This Row],[CandID]],Cands[[CandID]:[Cand_Name]],2,0)</f>
        <v>Keo Luykorn</v>
      </c>
      <c r="D34" s="1" t="s">
        <v>126</v>
      </c>
      <c r="E34" s="1" t="str">
        <f>_xlfn.IFNA(VLOOKUP(Apps[[#This Row],[PostID]],Posts[[PostID]:[Position]],2,0),"")</f>
        <v>Architect</v>
      </c>
      <c r="F34" s="4">
        <v>45292</v>
      </c>
      <c r="G34" s="3" t="s">
        <v>2848</v>
      </c>
      <c r="H34" s="8" t="s">
        <v>3477</v>
      </c>
      <c r="I34" s="4">
        <v>45292</v>
      </c>
      <c r="K34" s="8" t="s">
        <v>3521</v>
      </c>
      <c r="M34" s="3"/>
      <c r="N34" s="3" t="s">
        <v>3477</v>
      </c>
      <c r="O34" s="5">
        <v>1040</v>
      </c>
      <c r="P34" s="5">
        <v>900</v>
      </c>
    </row>
    <row r="35" spans="1:16" x14ac:dyDescent="0.3">
      <c r="A35" s="1" t="s">
        <v>2887</v>
      </c>
      <c r="B35" s="1" t="s">
        <v>2255</v>
      </c>
      <c r="C35" s="1" t="str">
        <f>VLOOKUP(Apps[[#This Row],[CandID]],Cands[[CandID]:[Cand_Name]],2,0)</f>
        <v>Tes Chanpanha</v>
      </c>
      <c r="D35" s="1" t="s">
        <v>94</v>
      </c>
      <c r="E35" s="1" t="str">
        <f>_xlfn.IFNA(VLOOKUP(Apps[[#This Row],[PostID]],Posts[[PostID]:[Position]],2,0),"")</f>
        <v>Farm Manager</v>
      </c>
      <c r="F35" s="4">
        <v>45292</v>
      </c>
      <c r="G35" s="3" t="s">
        <v>2848</v>
      </c>
      <c r="H35" s="8" t="s">
        <v>3477</v>
      </c>
      <c r="I35" s="4">
        <v>45292</v>
      </c>
      <c r="K35" s="8" t="s">
        <v>3521</v>
      </c>
      <c r="M35" s="3"/>
      <c r="N35" s="3" t="s">
        <v>3477</v>
      </c>
      <c r="O35" s="5">
        <v>780</v>
      </c>
      <c r="P35" s="5">
        <v>700</v>
      </c>
    </row>
    <row r="36" spans="1:16" x14ac:dyDescent="0.3">
      <c r="A36" s="1" t="s">
        <v>2888</v>
      </c>
      <c r="B36" s="1" t="s">
        <v>2256</v>
      </c>
      <c r="C36" s="1" t="str">
        <f>VLOOKUP(Apps[[#This Row],[CandID]],Cands[[CandID]:[Cand_Name]],2,0)</f>
        <v>Sun Bunny</v>
      </c>
      <c r="D36" s="1" t="s">
        <v>94</v>
      </c>
      <c r="E36" s="1" t="str">
        <f>_xlfn.IFNA(VLOOKUP(Apps[[#This Row],[PostID]],Posts[[PostID]:[Position]],2,0),"")</f>
        <v>Farm Manager</v>
      </c>
      <c r="F36" s="4">
        <v>45292</v>
      </c>
      <c r="G36" s="3" t="s">
        <v>2848</v>
      </c>
      <c r="H36" s="8" t="s">
        <v>3475</v>
      </c>
      <c r="K36" s="8" t="s">
        <v>3521</v>
      </c>
      <c r="M36" s="3"/>
      <c r="O36" s="5">
        <v>1200</v>
      </c>
      <c r="P36" s="5">
        <v>1300</v>
      </c>
    </row>
    <row r="37" spans="1:16" x14ac:dyDescent="0.3">
      <c r="A37" s="1" t="s">
        <v>2889</v>
      </c>
      <c r="B37" s="1" t="s">
        <v>2257</v>
      </c>
      <c r="C37" s="1" t="str">
        <f>VLOOKUP(Apps[[#This Row],[CandID]],Cands[[CandID]:[Cand_Name]],2,0)</f>
        <v>Dav Sotheara</v>
      </c>
      <c r="D37" s="1" t="s">
        <v>126</v>
      </c>
      <c r="E37" s="1" t="str">
        <f>_xlfn.IFNA(VLOOKUP(Apps[[#This Row],[PostID]],Posts[[PostID]:[Position]],2,0),"")</f>
        <v>Architect</v>
      </c>
      <c r="F37" s="4">
        <v>45292</v>
      </c>
      <c r="G37" s="3" t="s">
        <v>2848</v>
      </c>
      <c r="H37" s="8" t="s">
        <v>3475</v>
      </c>
      <c r="K37" s="8" t="s">
        <v>3521</v>
      </c>
      <c r="M37" s="3"/>
      <c r="O37" s="5">
        <v>420</v>
      </c>
      <c r="P37" s="5">
        <v>550</v>
      </c>
    </row>
    <row r="38" spans="1:16" x14ac:dyDescent="0.3">
      <c r="A38" s="1" t="s">
        <v>2890</v>
      </c>
      <c r="B38" s="1" t="s">
        <v>2258</v>
      </c>
      <c r="C38" s="1" t="str">
        <f>VLOOKUP(Apps[[#This Row],[CandID]],Cands[[CandID]:[Cand_Name]],2,0)</f>
        <v>Kuoy Sothea</v>
      </c>
      <c r="D38" s="1" t="s">
        <v>126</v>
      </c>
      <c r="E38" s="1" t="str">
        <f>_xlfn.IFNA(VLOOKUP(Apps[[#This Row],[PostID]],Posts[[PostID]:[Position]],2,0),"")</f>
        <v>Architect</v>
      </c>
      <c r="F38" s="4">
        <v>45292</v>
      </c>
      <c r="G38" s="3" t="s">
        <v>2848</v>
      </c>
      <c r="H38" s="8" t="s">
        <v>3477</v>
      </c>
      <c r="I38" s="4">
        <v>45292</v>
      </c>
      <c r="K38" s="8" t="s">
        <v>3521</v>
      </c>
      <c r="M38" s="3"/>
      <c r="N38" s="3" t="s">
        <v>3477</v>
      </c>
      <c r="O38" s="5">
        <v>900</v>
      </c>
      <c r="P38" s="5">
        <v>1000</v>
      </c>
    </row>
    <row r="39" spans="1:16" x14ac:dyDescent="0.3">
      <c r="A39" s="1" t="s">
        <v>2891</v>
      </c>
      <c r="B39" s="1" t="s">
        <v>2259</v>
      </c>
      <c r="C39" s="1" t="str">
        <f>VLOOKUP(Apps[[#This Row],[CandID]],Cands[[CandID]:[Cand_Name]],2,0)</f>
        <v>Meas Chanrathanak</v>
      </c>
      <c r="D39" s="1" t="s">
        <v>126</v>
      </c>
      <c r="E39" s="1" t="str">
        <f>_xlfn.IFNA(VLOOKUP(Apps[[#This Row],[PostID]],Posts[[PostID]:[Position]],2,0),"")</f>
        <v>Architect</v>
      </c>
      <c r="F39" s="4">
        <v>45292</v>
      </c>
      <c r="G39" s="3" t="s">
        <v>2848</v>
      </c>
      <c r="H39" s="8" t="s">
        <v>3477</v>
      </c>
      <c r="I39" s="4">
        <v>45292</v>
      </c>
      <c r="K39" s="8" t="s">
        <v>3521</v>
      </c>
      <c r="M39" s="3"/>
      <c r="N39" s="3" t="s">
        <v>3477</v>
      </c>
      <c r="O39" s="5">
        <v>1200</v>
      </c>
      <c r="P39" s="5">
        <v>1200</v>
      </c>
    </row>
    <row r="40" spans="1:16" x14ac:dyDescent="0.3">
      <c r="A40" s="1" t="s">
        <v>2892</v>
      </c>
      <c r="B40" s="1" t="s">
        <v>2260</v>
      </c>
      <c r="C40" s="1" t="str">
        <f>VLOOKUP(Apps[[#This Row],[CandID]],Cands[[CandID]:[Cand_Name]],2,0)</f>
        <v>Siem Sinoun</v>
      </c>
      <c r="D40" s="1" t="s">
        <v>94</v>
      </c>
      <c r="E40" s="1" t="str">
        <f>_xlfn.IFNA(VLOOKUP(Apps[[#This Row],[PostID]],Posts[[PostID]:[Position]],2,0),"")</f>
        <v>Farm Manager</v>
      </c>
      <c r="F40" s="4">
        <v>45292</v>
      </c>
      <c r="G40" s="3" t="s">
        <v>2845</v>
      </c>
      <c r="H40" s="8" t="s">
        <v>3475</v>
      </c>
      <c r="K40" s="8" t="s">
        <v>3521</v>
      </c>
      <c r="M40" s="3"/>
      <c r="O40" s="5">
        <v>450</v>
      </c>
      <c r="P40" s="5">
        <v>450</v>
      </c>
    </row>
    <row r="41" spans="1:16" x14ac:dyDescent="0.3">
      <c r="A41" s="1" t="s">
        <v>2893</v>
      </c>
      <c r="B41" s="1" t="s">
        <v>2261</v>
      </c>
      <c r="C41" s="1" t="str">
        <f>VLOOKUP(Apps[[#This Row],[CandID]],Cands[[CandID]:[Cand_Name]],2,0)</f>
        <v>Sothy Povpagna</v>
      </c>
      <c r="D41" s="1" t="s">
        <v>91</v>
      </c>
      <c r="E41" s="1" t="str">
        <f>_xlfn.IFNA(VLOOKUP(Apps[[#This Row],[PostID]],Posts[[PostID]:[Position]],2,0),"")</f>
        <v>Financial Controller</v>
      </c>
      <c r="F41" s="4">
        <v>45261</v>
      </c>
      <c r="G41" s="3" t="s">
        <v>2847</v>
      </c>
      <c r="M41" s="3"/>
    </row>
    <row r="42" spans="1:16" x14ac:dyDescent="0.3">
      <c r="A42" s="1" t="s">
        <v>2894</v>
      </c>
      <c r="B42" s="1" t="s">
        <v>2262</v>
      </c>
      <c r="C42" s="1" t="str">
        <f>VLOOKUP(Apps[[#This Row],[CandID]],Cands[[CandID]:[Cand_Name]],2,0)</f>
        <v>Dun Dyna</v>
      </c>
      <c r="D42" s="1" t="s">
        <v>126</v>
      </c>
      <c r="E42" s="1" t="str">
        <f>_xlfn.IFNA(VLOOKUP(Apps[[#This Row],[PostID]],Posts[[PostID]:[Position]],2,0),"")</f>
        <v>Architect</v>
      </c>
      <c r="F42" s="4">
        <v>45261</v>
      </c>
      <c r="G42" s="3" t="s">
        <v>2848</v>
      </c>
      <c r="M42" s="3"/>
    </row>
    <row r="43" spans="1:16" x14ac:dyDescent="0.3">
      <c r="A43" s="1" t="s">
        <v>2895</v>
      </c>
      <c r="B43" s="1" t="s">
        <v>2263</v>
      </c>
      <c r="C43" s="1" t="str">
        <f>VLOOKUP(Apps[[#This Row],[CandID]],Cands[[CandID]:[Cand_Name]],2,0)</f>
        <v>Suy Lin</v>
      </c>
      <c r="E43" s="1" t="str">
        <f>_xlfn.IFNA(VLOOKUP(Apps[[#This Row],[PostID]],Posts[[PostID]:[Position]],2,0),"")</f>
        <v/>
      </c>
      <c r="F43" s="4">
        <v>45261</v>
      </c>
      <c r="G43" s="3" t="s">
        <v>2847</v>
      </c>
      <c r="M43" s="3"/>
    </row>
    <row r="44" spans="1:16" x14ac:dyDescent="0.3">
      <c r="A44" s="1" t="s">
        <v>2896</v>
      </c>
      <c r="B44" s="1" t="s">
        <v>2264</v>
      </c>
      <c r="C44" s="1" t="str">
        <f>VLOOKUP(Apps[[#This Row],[CandID]],Cands[[CandID]:[Cand_Name]],2,0)</f>
        <v>Man Sokunthea</v>
      </c>
      <c r="E44" s="1" t="str">
        <f>_xlfn.IFNA(VLOOKUP(Apps[[#This Row],[PostID]],Posts[[PostID]:[Position]],2,0),"")</f>
        <v/>
      </c>
      <c r="F44" s="4">
        <v>45292</v>
      </c>
      <c r="G44" s="3" t="s">
        <v>2847</v>
      </c>
      <c r="H44" s="8" t="s">
        <v>3475</v>
      </c>
      <c r="K44" s="8" t="s">
        <v>3521</v>
      </c>
      <c r="M44" s="3"/>
    </row>
    <row r="45" spans="1:16" x14ac:dyDescent="0.3">
      <c r="A45" s="1" t="s">
        <v>2897</v>
      </c>
      <c r="B45" s="1" t="s">
        <v>2265</v>
      </c>
      <c r="C45" s="1" t="str">
        <f>VLOOKUP(Apps[[#This Row],[CandID]],Cands[[CandID]:[Cand_Name]],2,0)</f>
        <v>Tha Rity</v>
      </c>
      <c r="D45" s="1" t="s">
        <v>94</v>
      </c>
      <c r="E45" s="1" t="str">
        <f>_xlfn.IFNA(VLOOKUP(Apps[[#This Row],[PostID]],Posts[[PostID]:[Position]],2,0),"")</f>
        <v>Farm Manager</v>
      </c>
      <c r="F45" s="4">
        <v>45261</v>
      </c>
      <c r="G45" s="3" t="s">
        <v>2847</v>
      </c>
      <c r="M45" s="3"/>
    </row>
    <row r="46" spans="1:16" x14ac:dyDescent="0.3">
      <c r="A46" s="1" t="s">
        <v>2898</v>
      </c>
      <c r="B46" s="1" t="s">
        <v>2266</v>
      </c>
      <c r="C46" s="1" t="str">
        <f>VLOOKUP(Apps[[#This Row],[CandID]],Cands[[CandID]:[Cand_Name]],2,0)</f>
        <v>Nun Piseth</v>
      </c>
      <c r="D46" s="1" t="s">
        <v>94</v>
      </c>
      <c r="E46" s="1" t="str">
        <f>_xlfn.IFNA(VLOOKUP(Apps[[#This Row],[PostID]],Posts[[PostID]:[Position]],2,0),"")</f>
        <v>Farm Manager</v>
      </c>
      <c r="F46" s="4">
        <v>45292</v>
      </c>
      <c r="G46" s="3" t="s">
        <v>2847</v>
      </c>
      <c r="H46" s="8" t="s">
        <v>3477</v>
      </c>
      <c r="I46" s="4">
        <v>45292</v>
      </c>
      <c r="M46" s="3"/>
      <c r="O46" s="5">
        <v>600</v>
      </c>
      <c r="P46" s="5">
        <v>650</v>
      </c>
    </row>
    <row r="47" spans="1:16" x14ac:dyDescent="0.3">
      <c r="A47" s="1" t="s">
        <v>2899</v>
      </c>
      <c r="B47" s="1" t="s">
        <v>2267</v>
      </c>
      <c r="C47" s="1" t="str">
        <f>VLOOKUP(Apps[[#This Row],[CandID]],Cands[[CandID]:[Cand_Name]],2,0)</f>
        <v>Chuon Chanthy</v>
      </c>
      <c r="D47" s="1" t="s">
        <v>126</v>
      </c>
      <c r="E47" s="1" t="str">
        <f>_xlfn.IFNA(VLOOKUP(Apps[[#This Row],[PostID]],Posts[[PostID]:[Position]],2,0),"")</f>
        <v>Architect</v>
      </c>
      <c r="F47" s="4">
        <v>45292</v>
      </c>
      <c r="G47" s="3" t="s">
        <v>2848</v>
      </c>
      <c r="H47" s="8" t="s">
        <v>3477</v>
      </c>
      <c r="I47" s="4">
        <v>45292</v>
      </c>
      <c r="K47" s="8" t="s">
        <v>3521</v>
      </c>
      <c r="M47" s="3"/>
      <c r="N47" s="3" t="s">
        <v>3477</v>
      </c>
    </row>
    <row r="48" spans="1:16" x14ac:dyDescent="0.3">
      <c r="A48" s="1" t="s">
        <v>2900</v>
      </c>
      <c r="B48" s="1" t="s">
        <v>2268</v>
      </c>
      <c r="C48" s="1" t="str">
        <f>VLOOKUP(Apps[[#This Row],[CandID]],Cands[[CandID]:[Cand_Name]],2,0)</f>
        <v>Hou Sunsrun</v>
      </c>
      <c r="D48" s="1" t="s">
        <v>126</v>
      </c>
      <c r="E48" s="1" t="str">
        <f>_xlfn.IFNA(VLOOKUP(Apps[[#This Row],[PostID]],Posts[[PostID]:[Position]],2,0),"")</f>
        <v>Architect</v>
      </c>
      <c r="F48" s="4">
        <v>45261</v>
      </c>
      <c r="G48" s="3" t="s">
        <v>2848</v>
      </c>
      <c r="H48" s="8" t="s">
        <v>3477</v>
      </c>
      <c r="M48" s="3"/>
    </row>
    <row r="49" spans="1:16" x14ac:dyDescent="0.3">
      <c r="A49" s="1" t="s">
        <v>2901</v>
      </c>
      <c r="B49" s="1" t="s">
        <v>2269</v>
      </c>
      <c r="C49" s="1" t="str">
        <f>VLOOKUP(Apps[[#This Row],[CandID]],Cands[[CandID]:[Cand_Name]],2,0)</f>
        <v>Bak Heng</v>
      </c>
      <c r="D49" s="1" t="s">
        <v>94</v>
      </c>
      <c r="E49" s="1" t="str">
        <f>_xlfn.IFNA(VLOOKUP(Apps[[#This Row],[PostID]],Posts[[PostID]:[Position]],2,0),"")</f>
        <v>Farm Manager</v>
      </c>
      <c r="F49" s="4">
        <v>45292</v>
      </c>
      <c r="G49" s="3" t="s">
        <v>2848</v>
      </c>
      <c r="H49" s="8" t="s">
        <v>3475</v>
      </c>
      <c r="K49" s="8" t="s">
        <v>3521</v>
      </c>
      <c r="M49" s="3"/>
    </row>
    <row r="50" spans="1:16" x14ac:dyDescent="0.3">
      <c r="A50" s="1" t="s">
        <v>2902</v>
      </c>
      <c r="B50" s="1" t="s">
        <v>2270</v>
      </c>
      <c r="C50" s="1" t="str">
        <f>VLOOKUP(Apps[[#This Row],[CandID]],Cands[[CandID]:[Cand_Name]],2,0)</f>
        <v>Moul Ly</v>
      </c>
      <c r="D50" s="1" t="s">
        <v>94</v>
      </c>
      <c r="E50" s="1" t="str">
        <f>_xlfn.IFNA(VLOOKUP(Apps[[#This Row],[PostID]],Posts[[PostID]:[Position]],2,0),"")</f>
        <v>Farm Manager</v>
      </c>
      <c r="F50" s="4">
        <v>45261</v>
      </c>
      <c r="G50" s="3" t="s">
        <v>2848</v>
      </c>
      <c r="M50" s="3"/>
    </row>
    <row r="51" spans="1:16" x14ac:dyDescent="0.3">
      <c r="A51" s="1" t="s">
        <v>2903</v>
      </c>
      <c r="B51" s="1" t="s">
        <v>2271</v>
      </c>
      <c r="C51" s="1" t="str">
        <f>VLOOKUP(Apps[[#This Row],[CandID]],Cands[[CandID]:[Cand_Name]],2,0)</f>
        <v>Ou Sophearos</v>
      </c>
      <c r="E51" s="1" t="str">
        <f>_xlfn.IFNA(VLOOKUP(Apps[[#This Row],[PostID]],Posts[[PostID]:[Position]],2,0),"")</f>
        <v/>
      </c>
      <c r="F51" s="4">
        <v>45292</v>
      </c>
      <c r="G51" s="3" t="s">
        <v>2845</v>
      </c>
      <c r="H51" s="8" t="s">
        <v>3475</v>
      </c>
      <c r="K51" s="8" t="s">
        <v>3521</v>
      </c>
      <c r="M51" s="3"/>
    </row>
    <row r="52" spans="1:16" x14ac:dyDescent="0.3">
      <c r="A52" s="1" t="s">
        <v>2904</v>
      </c>
      <c r="B52" s="1" t="s">
        <v>2272</v>
      </c>
      <c r="C52" s="1" t="str">
        <f>VLOOKUP(Apps[[#This Row],[CandID]],Cands[[CandID]:[Cand_Name]],2,0)</f>
        <v>Ly Sokun</v>
      </c>
      <c r="D52" s="1" t="s">
        <v>99</v>
      </c>
      <c r="E52" s="1" t="str">
        <f>_xlfn.IFNA(VLOOKUP(Apps[[#This Row],[PostID]],Posts[[PostID]:[Position]],2,0),"")</f>
        <v>Deputy Marketing Manager (event)</v>
      </c>
      <c r="F52" s="4">
        <v>45292</v>
      </c>
      <c r="G52" s="3" t="s">
        <v>2845</v>
      </c>
      <c r="H52" s="8" t="s">
        <v>3475</v>
      </c>
      <c r="K52" s="8" t="s">
        <v>3521</v>
      </c>
      <c r="M52" s="3"/>
    </row>
    <row r="53" spans="1:16" x14ac:dyDescent="0.3">
      <c r="A53" s="1" t="s">
        <v>2905</v>
      </c>
      <c r="B53" s="1" t="s">
        <v>2273</v>
      </c>
      <c r="C53" s="1" t="str">
        <f>VLOOKUP(Apps[[#This Row],[CandID]],Cands[[CandID]:[Cand_Name]],2,0)</f>
        <v>Hay Chanthy</v>
      </c>
      <c r="D53" s="1" t="s">
        <v>94</v>
      </c>
      <c r="E53" s="1" t="str">
        <f>_xlfn.IFNA(VLOOKUP(Apps[[#This Row],[PostID]],Posts[[PostID]:[Position]],2,0),"")</f>
        <v>Farm Manager</v>
      </c>
      <c r="F53" s="4">
        <v>45292</v>
      </c>
      <c r="G53" s="3" t="s">
        <v>2847</v>
      </c>
      <c r="H53" s="8" t="s">
        <v>3475</v>
      </c>
      <c r="K53" s="8" t="s">
        <v>3521</v>
      </c>
      <c r="M53" s="3"/>
      <c r="O53" s="5">
        <v>750</v>
      </c>
      <c r="P53" s="5">
        <v>800</v>
      </c>
    </row>
    <row r="54" spans="1:16" x14ac:dyDescent="0.3">
      <c r="A54" s="1" t="s">
        <v>2906</v>
      </c>
      <c r="B54" s="1" t="s">
        <v>2274</v>
      </c>
      <c r="C54" s="1" t="str">
        <f>VLOOKUP(Apps[[#This Row],[CandID]],Cands[[CandID]:[Cand_Name]],2,0)</f>
        <v>Vat Raty</v>
      </c>
      <c r="D54" s="1" t="s">
        <v>99</v>
      </c>
      <c r="E54" s="1" t="str">
        <f>_xlfn.IFNA(VLOOKUP(Apps[[#This Row],[PostID]],Posts[[PostID]:[Position]],2,0),"")</f>
        <v>Deputy Marketing Manager (event)</v>
      </c>
      <c r="F54" s="4">
        <v>45261</v>
      </c>
      <c r="G54" s="3" t="s">
        <v>2847</v>
      </c>
      <c r="H54" s="8" t="s">
        <v>3477</v>
      </c>
      <c r="M54" s="3"/>
      <c r="O54" s="5">
        <v>1000</v>
      </c>
      <c r="P54" s="5">
        <v>1500</v>
      </c>
    </row>
    <row r="55" spans="1:16" x14ac:dyDescent="0.3">
      <c r="A55" s="1" t="s">
        <v>2907</v>
      </c>
      <c r="B55" s="1" t="s">
        <v>2275</v>
      </c>
      <c r="C55" s="1" t="str">
        <f>VLOOKUP(Apps[[#This Row],[CandID]],Cands[[CandID]:[Cand_Name]],2,0)</f>
        <v>Ngoun Chandy</v>
      </c>
      <c r="D55" s="1" t="s">
        <v>99</v>
      </c>
      <c r="E55" s="1" t="str">
        <f>_xlfn.IFNA(VLOOKUP(Apps[[#This Row],[PostID]],Posts[[PostID]:[Position]],2,0),"")</f>
        <v>Deputy Marketing Manager (event)</v>
      </c>
      <c r="F55" s="4">
        <v>45261</v>
      </c>
      <c r="G55" s="3" t="s">
        <v>2845</v>
      </c>
      <c r="H55" s="8" t="s">
        <v>3477</v>
      </c>
      <c r="M55" s="3"/>
      <c r="O55" s="5">
        <v>2500</v>
      </c>
      <c r="P55" s="5">
        <v>3000</v>
      </c>
    </row>
    <row r="56" spans="1:16" x14ac:dyDescent="0.3">
      <c r="A56" s="1" t="s">
        <v>2908</v>
      </c>
      <c r="B56" s="1" t="s">
        <v>2276</v>
      </c>
      <c r="C56" s="1" t="str">
        <f>VLOOKUP(Apps[[#This Row],[CandID]],Cands[[CandID]:[Cand_Name]],2,0)</f>
        <v>Bun Dorn</v>
      </c>
      <c r="D56" s="1" t="s">
        <v>94</v>
      </c>
      <c r="E56" s="1" t="str">
        <f>_xlfn.IFNA(VLOOKUP(Apps[[#This Row],[PostID]],Posts[[PostID]:[Position]],2,0),"")</f>
        <v>Farm Manager</v>
      </c>
      <c r="F56" s="4">
        <v>45261</v>
      </c>
      <c r="G56" s="3" t="s">
        <v>2847</v>
      </c>
      <c r="H56" s="8" t="s">
        <v>3477</v>
      </c>
      <c r="M56" s="3"/>
      <c r="O56" s="5">
        <v>2000</v>
      </c>
      <c r="P56" s="5">
        <v>3000</v>
      </c>
    </row>
    <row r="57" spans="1:16" x14ac:dyDescent="0.3">
      <c r="A57" s="1" t="s">
        <v>2909</v>
      </c>
      <c r="B57" s="1" t="s">
        <v>2277</v>
      </c>
      <c r="C57" s="1" t="str">
        <f>VLOOKUP(Apps[[#This Row],[CandID]],Cands[[CandID]:[Cand_Name]],2,0)</f>
        <v>Ben Sophy</v>
      </c>
      <c r="D57" s="1" t="s">
        <v>86</v>
      </c>
      <c r="E57" s="1" t="str">
        <f>_xlfn.IFNA(VLOOKUP(Apps[[#This Row],[PostID]],Posts[[PostID]:[Position]],2,0),"")</f>
        <v>Factory Supervisor</v>
      </c>
      <c r="F57" s="4">
        <v>45261</v>
      </c>
      <c r="G57" s="3" t="s">
        <v>2845</v>
      </c>
      <c r="H57" s="8" t="s">
        <v>3477</v>
      </c>
      <c r="M57" s="3"/>
      <c r="O57" s="5">
        <v>814</v>
      </c>
      <c r="P57" s="5">
        <v>1100</v>
      </c>
    </row>
    <row r="58" spans="1:16" x14ac:dyDescent="0.3">
      <c r="A58" s="1" t="s">
        <v>2910</v>
      </c>
      <c r="B58" s="1" t="s">
        <v>2278</v>
      </c>
      <c r="C58" s="1" t="str">
        <f>VLOOKUP(Apps[[#This Row],[CandID]],Cands[[CandID]:[Cand_Name]],2,0)</f>
        <v>Ting Ting Hung</v>
      </c>
      <c r="D58" s="1" t="s">
        <v>100</v>
      </c>
      <c r="E58" s="1" t="str">
        <f>_xlfn.IFNA(VLOOKUP(Apps[[#This Row],[PostID]],Posts[[PostID]:[Position]],2,0),"")</f>
        <v>Sales Director</v>
      </c>
      <c r="F58" s="4">
        <v>45261</v>
      </c>
      <c r="G58" s="3" t="s">
        <v>2846</v>
      </c>
      <c r="H58" s="8" t="s">
        <v>3477</v>
      </c>
      <c r="M58" s="3"/>
      <c r="P58" s="5">
        <v>3000</v>
      </c>
    </row>
    <row r="59" spans="1:16" x14ac:dyDescent="0.3">
      <c r="A59" s="1" t="s">
        <v>2911</v>
      </c>
      <c r="B59" s="1" t="s">
        <v>2279</v>
      </c>
      <c r="C59" s="1" t="str">
        <f>VLOOKUP(Apps[[#This Row],[CandID]],Cands[[CandID]:[Cand_Name]],2,0)</f>
        <v>Din Savin</v>
      </c>
      <c r="E59" s="1" t="str">
        <f>_xlfn.IFNA(VLOOKUP(Apps[[#This Row],[PostID]],Posts[[PostID]:[Position]],2,0),"")</f>
        <v/>
      </c>
      <c r="F59" s="4">
        <v>45292</v>
      </c>
      <c r="G59" s="3" t="s">
        <v>2847</v>
      </c>
      <c r="H59" s="8" t="s">
        <v>3475</v>
      </c>
      <c r="K59" s="8" t="s">
        <v>3521</v>
      </c>
      <c r="M59" s="3"/>
      <c r="O59" s="5">
        <v>830</v>
      </c>
      <c r="P59" s="5">
        <v>830</v>
      </c>
    </row>
    <row r="60" spans="1:16" x14ac:dyDescent="0.3">
      <c r="A60" s="1" t="s">
        <v>2912</v>
      </c>
      <c r="B60" s="1" t="s">
        <v>2280</v>
      </c>
      <c r="C60" s="1" t="str">
        <f>VLOOKUP(Apps[[#This Row],[CandID]],Cands[[CandID]:[Cand_Name]],2,0)</f>
        <v>Pum Savra</v>
      </c>
      <c r="D60" s="1" t="s">
        <v>94</v>
      </c>
      <c r="E60" s="1" t="str">
        <f>_xlfn.IFNA(VLOOKUP(Apps[[#This Row],[PostID]],Posts[[PostID]:[Position]],2,0),"")</f>
        <v>Farm Manager</v>
      </c>
      <c r="F60" s="4">
        <v>45261</v>
      </c>
      <c r="G60" s="3" t="s">
        <v>2847</v>
      </c>
      <c r="M60" s="3"/>
    </row>
    <row r="61" spans="1:16" x14ac:dyDescent="0.3">
      <c r="A61" s="1" t="s">
        <v>2913</v>
      </c>
      <c r="B61" s="1" t="s">
        <v>2281</v>
      </c>
      <c r="C61" s="1" t="str">
        <f>VLOOKUP(Apps[[#This Row],[CandID]],Cands[[CandID]:[Cand_Name]],2,0)</f>
        <v>Heng Angkea</v>
      </c>
      <c r="E61" s="1" t="str">
        <f>_xlfn.IFNA(VLOOKUP(Apps[[#This Row],[PostID]],Posts[[PostID]:[Position]],2,0),"")</f>
        <v/>
      </c>
      <c r="F61" s="4">
        <v>45261</v>
      </c>
      <c r="G61" s="3" t="s">
        <v>2847</v>
      </c>
      <c r="M61" s="3"/>
    </row>
    <row r="62" spans="1:16" x14ac:dyDescent="0.3">
      <c r="A62" s="1" t="s">
        <v>2914</v>
      </c>
      <c r="B62" s="1" t="s">
        <v>2282</v>
      </c>
      <c r="C62" s="1" t="str">
        <f>VLOOKUP(Apps[[#This Row],[CandID]],Cands[[CandID]:[Cand_Name]],2,0)</f>
        <v>Phorn Chanvorak</v>
      </c>
      <c r="D62" s="1" t="s">
        <v>126</v>
      </c>
      <c r="E62" s="1" t="str">
        <f>_xlfn.IFNA(VLOOKUP(Apps[[#This Row],[PostID]],Posts[[PostID]:[Position]],2,0),"")</f>
        <v>Architect</v>
      </c>
      <c r="F62" s="4">
        <v>45261</v>
      </c>
      <c r="G62" s="3" t="s">
        <v>2848</v>
      </c>
      <c r="M62" s="3"/>
    </row>
    <row r="63" spans="1:16" x14ac:dyDescent="0.3">
      <c r="A63" s="1" t="s">
        <v>2915</v>
      </c>
      <c r="B63" s="1" t="s">
        <v>2283</v>
      </c>
      <c r="C63" s="1" t="str">
        <f>VLOOKUP(Apps[[#This Row],[CandID]],Cands[[CandID]:[Cand_Name]],2,0)</f>
        <v>Sreng Leangkheng</v>
      </c>
      <c r="E63" s="1" t="str">
        <f>_xlfn.IFNA(VLOOKUP(Apps[[#This Row],[PostID]],Posts[[PostID]:[Position]],2,0),"")</f>
        <v/>
      </c>
      <c r="F63" s="4">
        <v>45261</v>
      </c>
      <c r="G63" s="3" t="s">
        <v>2847</v>
      </c>
      <c r="M63" s="3"/>
    </row>
    <row r="64" spans="1:16" x14ac:dyDescent="0.3">
      <c r="A64" s="1" t="s">
        <v>2916</v>
      </c>
      <c r="B64" s="1" t="s">
        <v>2284</v>
      </c>
      <c r="C64" s="1" t="str">
        <f>VLOOKUP(Apps[[#This Row],[CandID]],Cands[[CandID]:[Cand_Name]],2,0)</f>
        <v>Sou Pheng</v>
      </c>
      <c r="D64" s="1" t="s">
        <v>91</v>
      </c>
      <c r="E64" s="1" t="str">
        <f>_xlfn.IFNA(VLOOKUP(Apps[[#This Row],[PostID]],Posts[[PostID]:[Position]],2,0),"")</f>
        <v>Financial Controller</v>
      </c>
      <c r="F64" s="4">
        <v>45261</v>
      </c>
      <c r="G64" s="3" t="s">
        <v>2847</v>
      </c>
      <c r="M64" s="3"/>
    </row>
    <row r="65" spans="1:16" x14ac:dyDescent="0.3">
      <c r="A65" s="1" t="s">
        <v>2917</v>
      </c>
      <c r="B65" s="1" t="s">
        <v>2285</v>
      </c>
      <c r="C65" s="1" t="str">
        <f>VLOOKUP(Apps[[#This Row],[CandID]],Cands[[CandID]:[Cand_Name]],2,0)</f>
        <v>Toem Sreylin</v>
      </c>
      <c r="D65" s="1" t="s">
        <v>94</v>
      </c>
      <c r="E65" s="1" t="str">
        <f>_xlfn.IFNA(VLOOKUP(Apps[[#This Row],[PostID]],Posts[[PostID]:[Position]],2,0),"")</f>
        <v>Farm Manager</v>
      </c>
      <c r="F65" s="4">
        <v>45261</v>
      </c>
      <c r="G65" s="3" t="s">
        <v>2847</v>
      </c>
      <c r="M65" s="3"/>
      <c r="O65" s="5" t="s">
        <v>2052</v>
      </c>
    </row>
    <row r="66" spans="1:16" x14ac:dyDescent="0.3">
      <c r="A66" s="1" t="s">
        <v>2918</v>
      </c>
      <c r="B66" s="1" t="s">
        <v>2286</v>
      </c>
      <c r="C66" s="1" t="str">
        <f>VLOOKUP(Apps[[#This Row],[CandID]],Cands[[CandID]:[Cand_Name]],2,0)</f>
        <v>Yon Borin</v>
      </c>
      <c r="D66" s="1" t="s">
        <v>94</v>
      </c>
      <c r="E66" s="1" t="str">
        <f>_xlfn.IFNA(VLOOKUP(Apps[[#This Row],[PostID]],Posts[[PostID]:[Position]],2,0),"")</f>
        <v>Farm Manager</v>
      </c>
      <c r="F66" s="4">
        <v>45261</v>
      </c>
      <c r="G66" s="3" t="s">
        <v>2847</v>
      </c>
      <c r="M66" s="3"/>
    </row>
    <row r="67" spans="1:16" x14ac:dyDescent="0.3">
      <c r="A67" s="1" t="s">
        <v>2919</v>
      </c>
      <c r="B67" s="1" t="s">
        <v>2287</v>
      </c>
      <c r="C67" s="1" t="str">
        <f>VLOOKUP(Apps[[#This Row],[CandID]],Cands[[CandID]:[Cand_Name]],2,0)</f>
        <v>Chheng Chanty</v>
      </c>
      <c r="D67" s="1" t="s">
        <v>94</v>
      </c>
      <c r="E67" s="1" t="str">
        <f>_xlfn.IFNA(VLOOKUP(Apps[[#This Row],[PostID]],Posts[[PostID]:[Position]],2,0),"")</f>
        <v>Farm Manager</v>
      </c>
      <c r="F67" s="4">
        <v>45261</v>
      </c>
      <c r="G67" s="3" t="s">
        <v>2847</v>
      </c>
      <c r="M67" s="3"/>
    </row>
    <row r="68" spans="1:16" x14ac:dyDescent="0.3">
      <c r="A68" s="1" t="s">
        <v>2920</v>
      </c>
      <c r="B68" s="1" t="s">
        <v>2288</v>
      </c>
      <c r="C68" s="1" t="str">
        <f>VLOOKUP(Apps[[#This Row],[CandID]],Cands[[CandID]:[Cand_Name]],2,0)</f>
        <v>Yin Yorkfi</v>
      </c>
      <c r="D68" s="1" t="s">
        <v>91</v>
      </c>
      <c r="E68" s="1" t="str">
        <f>_xlfn.IFNA(VLOOKUP(Apps[[#This Row],[PostID]],Posts[[PostID]:[Position]],2,0),"")</f>
        <v>Financial Controller</v>
      </c>
      <c r="F68" s="4">
        <v>45261</v>
      </c>
      <c r="G68" s="3" t="s">
        <v>2847</v>
      </c>
      <c r="M68" s="3"/>
    </row>
    <row r="69" spans="1:16" x14ac:dyDescent="0.3">
      <c r="A69" s="1" t="s">
        <v>2921</v>
      </c>
      <c r="B69" s="1" t="s">
        <v>2289</v>
      </c>
      <c r="C69" s="1" t="str">
        <f>VLOOKUP(Apps[[#This Row],[CandID]],Cands[[CandID]:[Cand_Name]],2,0)</f>
        <v>Yech Cheavlay</v>
      </c>
      <c r="D69" s="1" t="s">
        <v>91</v>
      </c>
      <c r="E69" s="1" t="str">
        <f>_xlfn.IFNA(VLOOKUP(Apps[[#This Row],[PostID]],Posts[[PostID]:[Position]],2,0),"")</f>
        <v>Financial Controller</v>
      </c>
      <c r="F69" s="4">
        <v>45261</v>
      </c>
      <c r="G69" s="3" t="s">
        <v>2847</v>
      </c>
      <c r="M69" s="3"/>
    </row>
    <row r="70" spans="1:16" x14ac:dyDescent="0.3">
      <c r="A70" s="1" t="s">
        <v>2922</v>
      </c>
      <c r="B70" s="1" t="s">
        <v>2290</v>
      </c>
      <c r="C70" s="1" t="str">
        <f>VLOOKUP(Apps[[#This Row],[CandID]],Cands[[CandID]:[Cand_Name]],2,0)</f>
        <v>Kuy Chin Uy</v>
      </c>
      <c r="D70" s="1" t="s">
        <v>91</v>
      </c>
      <c r="E70" s="1" t="str">
        <f>_xlfn.IFNA(VLOOKUP(Apps[[#This Row],[PostID]],Posts[[PostID]:[Position]],2,0),"")</f>
        <v>Financial Controller</v>
      </c>
      <c r="F70" s="4">
        <v>45261</v>
      </c>
      <c r="G70" s="3" t="s">
        <v>2847</v>
      </c>
      <c r="H70" s="8" t="s">
        <v>3477</v>
      </c>
      <c r="M70" s="3"/>
      <c r="P70" s="5">
        <v>3300</v>
      </c>
    </row>
    <row r="71" spans="1:16" x14ac:dyDescent="0.3">
      <c r="A71" s="1" t="s">
        <v>2923</v>
      </c>
      <c r="B71" s="1" t="s">
        <v>2291</v>
      </c>
      <c r="C71" s="1" t="str">
        <f>VLOOKUP(Apps[[#This Row],[CandID]],Cands[[CandID]:[Cand_Name]],2,0)</f>
        <v>Sok Samnang</v>
      </c>
      <c r="D71" s="1" t="s">
        <v>99</v>
      </c>
      <c r="E71" s="1" t="str">
        <f>_xlfn.IFNA(VLOOKUP(Apps[[#This Row],[PostID]],Posts[[PostID]:[Position]],2,0),"")</f>
        <v>Deputy Marketing Manager (event)</v>
      </c>
      <c r="F71" s="4">
        <v>45261</v>
      </c>
      <c r="G71" s="3" t="s">
        <v>2846</v>
      </c>
      <c r="M71" s="3"/>
    </row>
    <row r="72" spans="1:16" x14ac:dyDescent="0.3">
      <c r="A72" s="1" t="s">
        <v>2924</v>
      </c>
      <c r="B72" s="1" t="s">
        <v>2292</v>
      </c>
      <c r="C72" s="1" t="str">
        <f>VLOOKUP(Apps[[#This Row],[CandID]],Cands[[CandID]:[Cand_Name]],2,0)</f>
        <v>Pil Kun</v>
      </c>
      <c r="D72" s="1" t="s">
        <v>99</v>
      </c>
      <c r="E72" s="1" t="str">
        <f>_xlfn.IFNA(VLOOKUP(Apps[[#This Row],[PostID]],Posts[[PostID]:[Position]],2,0),"")</f>
        <v>Deputy Marketing Manager (event)</v>
      </c>
      <c r="F72" s="4">
        <v>45292</v>
      </c>
      <c r="G72" s="3" t="s">
        <v>2846</v>
      </c>
      <c r="H72" s="8" t="s">
        <v>3477</v>
      </c>
      <c r="I72" s="4">
        <v>45296</v>
      </c>
      <c r="M72" s="3"/>
    </row>
    <row r="73" spans="1:16" x14ac:dyDescent="0.3">
      <c r="A73" s="1" t="s">
        <v>2925</v>
      </c>
      <c r="B73" s="1" t="s">
        <v>2293</v>
      </c>
      <c r="C73" s="1" t="str">
        <f>VLOOKUP(Apps[[#This Row],[CandID]],Cands[[CandID]:[Cand_Name]],2,0)</f>
        <v>Keo Sophal</v>
      </c>
      <c r="D73" s="1" t="s">
        <v>99</v>
      </c>
      <c r="E73" s="1" t="str">
        <f>_xlfn.IFNA(VLOOKUP(Apps[[#This Row],[PostID]],Posts[[PostID]:[Position]],2,0),"")</f>
        <v>Deputy Marketing Manager (event)</v>
      </c>
      <c r="F73" s="4">
        <v>45292</v>
      </c>
      <c r="G73" s="3" t="s">
        <v>2847</v>
      </c>
      <c r="H73" s="8" t="s">
        <v>3477</v>
      </c>
      <c r="I73" s="4">
        <v>45296</v>
      </c>
      <c r="M73" s="3"/>
    </row>
    <row r="74" spans="1:16" x14ac:dyDescent="0.3">
      <c r="A74" s="1" t="s">
        <v>2926</v>
      </c>
      <c r="B74" s="1" t="s">
        <v>2294</v>
      </c>
      <c r="C74" s="1" t="str">
        <f>VLOOKUP(Apps[[#This Row],[CandID]],Cands[[CandID]:[Cand_Name]],2,0)</f>
        <v>Din Chansocheat</v>
      </c>
      <c r="D74" s="1" t="s">
        <v>91</v>
      </c>
      <c r="E74" s="1" t="str">
        <f>_xlfn.IFNA(VLOOKUP(Apps[[#This Row],[PostID]],Posts[[PostID]:[Position]],2,0),"")</f>
        <v>Financial Controller</v>
      </c>
      <c r="F74" s="4">
        <v>45261</v>
      </c>
      <c r="G74" s="3" t="s">
        <v>2847</v>
      </c>
      <c r="M74" s="3"/>
    </row>
    <row r="75" spans="1:16" x14ac:dyDescent="0.3">
      <c r="A75" s="1" t="s">
        <v>2927</v>
      </c>
      <c r="B75" s="1" t="s">
        <v>2295</v>
      </c>
      <c r="C75" s="1" t="str">
        <f>VLOOKUP(Apps[[#This Row],[CandID]],Cands[[CandID]:[Cand_Name]],2,0)</f>
        <v>Mon Makara</v>
      </c>
      <c r="D75" s="1" t="s">
        <v>125</v>
      </c>
      <c r="E75" s="1" t="str">
        <f>_xlfn.IFNA(VLOOKUP(Apps[[#This Row],[PostID]],Posts[[PostID]:[Position]],2,0),"")</f>
        <v>Project Accounting Officer</v>
      </c>
      <c r="F75" s="4">
        <v>45261</v>
      </c>
      <c r="G75" s="3" t="s">
        <v>2848</v>
      </c>
      <c r="M75" s="3"/>
    </row>
    <row r="76" spans="1:16" x14ac:dyDescent="0.3">
      <c r="A76" s="1" t="s">
        <v>2928</v>
      </c>
      <c r="B76" s="1" t="s">
        <v>2296</v>
      </c>
      <c r="C76" s="1" t="str">
        <f>VLOOKUP(Apps[[#This Row],[CandID]],Cands[[CandID]:[Cand_Name]],2,0)</f>
        <v>Hel Tyhong</v>
      </c>
      <c r="D76" s="1" t="s">
        <v>119</v>
      </c>
      <c r="E76" s="1" t="str">
        <f>_xlfn.IFNA(VLOOKUP(Apps[[#This Row],[PostID]],Posts[[PostID]:[Position]],2,0),"")</f>
        <v>HRBP</v>
      </c>
      <c r="F76" s="4">
        <v>45261</v>
      </c>
      <c r="G76" s="3" t="s">
        <v>2847</v>
      </c>
      <c r="M76" s="3"/>
    </row>
    <row r="77" spans="1:16" x14ac:dyDescent="0.3">
      <c r="A77" s="1" t="s">
        <v>2929</v>
      </c>
      <c r="B77" s="1" t="s">
        <v>2297</v>
      </c>
      <c r="C77" s="1" t="str">
        <f>VLOOKUP(Apps[[#This Row],[CandID]],Cands[[CandID]:[Cand_Name]],2,0)</f>
        <v>Hang Sophea</v>
      </c>
      <c r="D77" s="1" t="s">
        <v>94</v>
      </c>
      <c r="E77" s="1" t="str">
        <f>_xlfn.IFNA(VLOOKUP(Apps[[#This Row],[PostID]],Posts[[PostID]:[Position]],2,0),"")</f>
        <v>Farm Manager</v>
      </c>
      <c r="F77" s="4">
        <v>45261</v>
      </c>
      <c r="G77" s="3" t="s">
        <v>2847</v>
      </c>
      <c r="M77" s="3"/>
    </row>
    <row r="78" spans="1:16" x14ac:dyDescent="0.3">
      <c r="A78" s="1" t="s">
        <v>2930</v>
      </c>
      <c r="B78" s="1" t="s">
        <v>2298</v>
      </c>
      <c r="C78" s="1" t="str">
        <f>VLOOKUP(Apps[[#This Row],[CandID]],Cands[[CandID]:[Cand_Name]],2,0)</f>
        <v>Kuy Lyneat</v>
      </c>
      <c r="D78" s="1" t="s">
        <v>119</v>
      </c>
      <c r="E78" s="1" t="str">
        <f>_xlfn.IFNA(VLOOKUP(Apps[[#This Row],[PostID]],Posts[[PostID]:[Position]],2,0),"")</f>
        <v>HRBP</v>
      </c>
      <c r="F78" s="4">
        <v>45261</v>
      </c>
      <c r="G78" s="3" t="s">
        <v>2847</v>
      </c>
      <c r="M78" s="3"/>
    </row>
    <row r="79" spans="1:16" x14ac:dyDescent="0.3">
      <c r="A79" s="1" t="s">
        <v>2931</v>
      </c>
      <c r="B79" s="1" t="s">
        <v>2299</v>
      </c>
      <c r="C79" s="1" t="str">
        <f>VLOOKUP(Apps[[#This Row],[CandID]],Cands[[CandID]:[Cand_Name]],2,0)</f>
        <v>Chheang Phea</v>
      </c>
      <c r="D79" s="1" t="s">
        <v>94</v>
      </c>
      <c r="E79" s="1" t="str">
        <f>_xlfn.IFNA(VLOOKUP(Apps[[#This Row],[PostID]],Posts[[PostID]:[Position]],2,0),"")</f>
        <v>Farm Manager</v>
      </c>
      <c r="F79" s="4">
        <v>45261</v>
      </c>
      <c r="G79" s="3" t="s">
        <v>2847</v>
      </c>
      <c r="M79" s="3"/>
    </row>
    <row r="80" spans="1:16" x14ac:dyDescent="0.3">
      <c r="A80" s="1" t="s">
        <v>2932</v>
      </c>
      <c r="B80" s="1" t="s">
        <v>2300</v>
      </c>
      <c r="C80" s="1" t="str">
        <f>VLOOKUP(Apps[[#This Row],[CandID]],Cands[[CandID]:[Cand_Name]],2,0)</f>
        <v>Nan Ravuth</v>
      </c>
      <c r="D80" s="1" t="s">
        <v>126</v>
      </c>
      <c r="E80" s="1" t="str">
        <f>_xlfn.IFNA(VLOOKUP(Apps[[#This Row],[PostID]],Posts[[PostID]:[Position]],2,0),"")</f>
        <v>Architect</v>
      </c>
      <c r="F80" s="4">
        <v>45261</v>
      </c>
      <c r="G80" s="3" t="s">
        <v>2847</v>
      </c>
      <c r="M80" s="3"/>
    </row>
    <row r="81" spans="1:16" x14ac:dyDescent="0.3">
      <c r="A81" s="1" t="s">
        <v>2933</v>
      </c>
      <c r="B81" s="1" t="s">
        <v>2301</v>
      </c>
      <c r="C81" s="1" t="str">
        <f>VLOOKUP(Apps[[#This Row],[CandID]],Cands[[CandID]:[Cand_Name]],2,0)</f>
        <v>Lor Sinh Ing</v>
      </c>
      <c r="D81" s="1" t="s">
        <v>94</v>
      </c>
      <c r="E81" s="1" t="str">
        <f>_xlfn.IFNA(VLOOKUP(Apps[[#This Row],[PostID]],Posts[[PostID]:[Position]],2,0),"")</f>
        <v>Farm Manager</v>
      </c>
      <c r="F81" s="4">
        <v>45261</v>
      </c>
      <c r="G81" s="3" t="s">
        <v>2847</v>
      </c>
      <c r="M81" s="3"/>
    </row>
    <row r="82" spans="1:16" x14ac:dyDescent="0.3">
      <c r="A82" s="1" t="s">
        <v>2934</v>
      </c>
      <c r="B82" s="1" t="s">
        <v>2302</v>
      </c>
      <c r="C82" s="1" t="str">
        <f>VLOOKUP(Apps[[#This Row],[CandID]],Cands[[CandID]:[Cand_Name]],2,0)</f>
        <v>Keo Ra</v>
      </c>
      <c r="D82" s="1" t="s">
        <v>126</v>
      </c>
      <c r="E82" s="1" t="str">
        <f>_xlfn.IFNA(VLOOKUP(Apps[[#This Row],[PostID]],Posts[[PostID]:[Position]],2,0),"")</f>
        <v>Architect</v>
      </c>
      <c r="F82" s="4">
        <v>45261</v>
      </c>
      <c r="G82" s="3" t="s">
        <v>2847</v>
      </c>
      <c r="M82" s="3"/>
    </row>
    <row r="83" spans="1:16" x14ac:dyDescent="0.3">
      <c r="A83" s="1" t="s">
        <v>2935</v>
      </c>
      <c r="B83" s="1" t="s">
        <v>2303</v>
      </c>
      <c r="C83" s="1" t="str">
        <f>VLOOKUP(Apps[[#This Row],[CandID]],Cands[[CandID]:[Cand_Name]],2,0)</f>
        <v>Doem Dar</v>
      </c>
      <c r="D83" s="1" t="s">
        <v>126</v>
      </c>
      <c r="E83" s="1" t="str">
        <f>_xlfn.IFNA(VLOOKUP(Apps[[#This Row],[PostID]],Posts[[PostID]:[Position]],2,0),"")</f>
        <v>Architect</v>
      </c>
      <c r="F83" s="4">
        <v>45261</v>
      </c>
      <c r="G83" s="3" t="s">
        <v>2847</v>
      </c>
      <c r="M83" s="3"/>
    </row>
    <row r="84" spans="1:16" x14ac:dyDescent="0.3">
      <c r="A84" s="1" t="s">
        <v>2936</v>
      </c>
      <c r="B84" s="1" t="s">
        <v>2304</v>
      </c>
      <c r="C84" s="1" t="str">
        <f>VLOOKUP(Apps[[#This Row],[CandID]],Cands[[CandID]:[Cand_Name]],2,0)</f>
        <v>Pheng Sopheak</v>
      </c>
      <c r="D84" s="1" t="s">
        <v>126</v>
      </c>
      <c r="E84" s="1" t="str">
        <f>_xlfn.IFNA(VLOOKUP(Apps[[#This Row],[PostID]],Posts[[PostID]:[Position]],2,0),"")</f>
        <v>Architect</v>
      </c>
      <c r="F84" s="4">
        <v>45261</v>
      </c>
      <c r="G84" s="3" t="s">
        <v>2847</v>
      </c>
      <c r="M84" s="3"/>
    </row>
    <row r="85" spans="1:16" x14ac:dyDescent="0.3">
      <c r="A85" s="1" t="s">
        <v>2937</v>
      </c>
      <c r="B85" s="1" t="s">
        <v>2305</v>
      </c>
      <c r="C85" s="1" t="str">
        <f>VLOOKUP(Apps[[#This Row],[CandID]],Cands[[CandID]:[Cand_Name]],2,0)</f>
        <v>Seng Kosal</v>
      </c>
      <c r="D85" s="1" t="s">
        <v>94</v>
      </c>
      <c r="E85" s="1" t="str">
        <f>_xlfn.IFNA(VLOOKUP(Apps[[#This Row],[PostID]],Posts[[PostID]:[Position]],2,0),"")</f>
        <v>Farm Manager</v>
      </c>
      <c r="F85" s="4">
        <v>45261</v>
      </c>
      <c r="G85" s="3" t="s">
        <v>2847</v>
      </c>
      <c r="M85" s="3"/>
    </row>
    <row r="86" spans="1:16" x14ac:dyDescent="0.3">
      <c r="A86" s="1" t="s">
        <v>2938</v>
      </c>
      <c r="B86" s="1" t="s">
        <v>2306</v>
      </c>
      <c r="C86" s="1" t="str">
        <f>VLOOKUP(Apps[[#This Row],[CandID]],Cands[[CandID]:[Cand_Name]],2,0)</f>
        <v>Touch Sreynich</v>
      </c>
      <c r="D86" s="1" t="s">
        <v>94</v>
      </c>
      <c r="E86" s="1" t="str">
        <f>_xlfn.IFNA(VLOOKUP(Apps[[#This Row],[PostID]],Posts[[PostID]:[Position]],2,0),"")</f>
        <v>Farm Manager</v>
      </c>
      <c r="F86" s="4">
        <v>45261</v>
      </c>
      <c r="G86" s="3" t="s">
        <v>2847</v>
      </c>
      <c r="M86" s="3"/>
    </row>
    <row r="87" spans="1:16" x14ac:dyDescent="0.3">
      <c r="A87" s="1" t="s">
        <v>2939</v>
      </c>
      <c r="B87" s="1" t="s">
        <v>2307</v>
      </c>
      <c r="C87" s="1" t="str">
        <f>VLOOKUP(Apps[[#This Row],[CandID]],Cands[[CandID]:[Cand_Name]],2,0)</f>
        <v>Im Panha</v>
      </c>
      <c r="D87" s="1" t="s">
        <v>94</v>
      </c>
      <c r="E87" s="1" t="str">
        <f>_xlfn.IFNA(VLOOKUP(Apps[[#This Row],[PostID]],Posts[[PostID]:[Position]],2,0),"")</f>
        <v>Farm Manager</v>
      </c>
      <c r="F87" s="4">
        <v>45261</v>
      </c>
      <c r="G87" s="3" t="s">
        <v>2847</v>
      </c>
      <c r="M87" s="3"/>
    </row>
    <row r="88" spans="1:16" x14ac:dyDescent="0.3">
      <c r="A88" s="1" t="s">
        <v>2940</v>
      </c>
      <c r="B88" s="1" t="s">
        <v>2308</v>
      </c>
      <c r="C88" s="1" t="str">
        <f>VLOOKUP(Apps[[#This Row],[CandID]],Cands[[CandID]:[Cand_Name]],2,0)</f>
        <v>Chhet Sophorn</v>
      </c>
      <c r="D88" s="1" t="s">
        <v>94</v>
      </c>
      <c r="E88" s="1" t="str">
        <f>_xlfn.IFNA(VLOOKUP(Apps[[#This Row],[PostID]],Posts[[PostID]:[Position]],2,0),"")</f>
        <v>Farm Manager</v>
      </c>
      <c r="F88" s="4">
        <v>45261</v>
      </c>
      <c r="G88" s="3" t="s">
        <v>2847</v>
      </c>
      <c r="M88" s="3"/>
    </row>
    <row r="89" spans="1:16" x14ac:dyDescent="0.3">
      <c r="A89" s="1" t="s">
        <v>2941</v>
      </c>
      <c r="B89" s="1" t="s">
        <v>2309</v>
      </c>
      <c r="C89" s="1" t="str">
        <f>VLOOKUP(Apps[[#This Row],[CandID]],Cands[[CandID]:[Cand_Name]],2,0)</f>
        <v>Man Sophorn</v>
      </c>
      <c r="D89" s="1" t="s">
        <v>94</v>
      </c>
      <c r="E89" s="1" t="str">
        <f>_xlfn.IFNA(VLOOKUP(Apps[[#This Row],[PostID]],Posts[[PostID]:[Position]],2,0),"")</f>
        <v>Farm Manager</v>
      </c>
      <c r="F89" s="4">
        <v>45261</v>
      </c>
      <c r="G89" s="3" t="s">
        <v>2847</v>
      </c>
      <c r="M89" s="3"/>
    </row>
    <row r="90" spans="1:16" x14ac:dyDescent="0.3">
      <c r="A90" s="1" t="s">
        <v>2942</v>
      </c>
      <c r="B90" s="1" t="s">
        <v>2310</v>
      </c>
      <c r="C90" s="1" t="str">
        <f>VLOOKUP(Apps[[#This Row],[CandID]],Cands[[CandID]:[Cand_Name]],2,0)</f>
        <v>Koch Oudom</v>
      </c>
      <c r="D90" s="1" t="s">
        <v>99</v>
      </c>
      <c r="E90" s="1" t="str">
        <f>_xlfn.IFNA(VLOOKUP(Apps[[#This Row],[PostID]],Posts[[PostID]:[Position]],2,0),"")</f>
        <v>Deputy Marketing Manager (event)</v>
      </c>
      <c r="F90" s="4">
        <v>45261</v>
      </c>
      <c r="G90" s="3" t="s">
        <v>2846</v>
      </c>
      <c r="M90" s="3"/>
    </row>
    <row r="91" spans="1:16" x14ac:dyDescent="0.3">
      <c r="A91" s="1" t="s">
        <v>2943</v>
      </c>
      <c r="B91" s="1" t="s">
        <v>2311</v>
      </c>
      <c r="C91" s="1" t="str">
        <f>VLOOKUP(Apps[[#This Row],[CandID]],Cands[[CandID]:[Cand_Name]],2,0)</f>
        <v>An Horn</v>
      </c>
      <c r="D91" s="1" t="s">
        <v>125</v>
      </c>
      <c r="E91" s="1" t="str">
        <f>_xlfn.IFNA(VLOOKUP(Apps[[#This Row],[PostID]],Posts[[PostID]:[Position]],2,0),"")</f>
        <v>Project Accounting Officer</v>
      </c>
      <c r="F91" s="4">
        <v>45261</v>
      </c>
      <c r="G91" s="3" t="s">
        <v>2848</v>
      </c>
      <c r="M91" s="3"/>
      <c r="O91" s="5" t="s">
        <v>2052</v>
      </c>
    </row>
    <row r="92" spans="1:16" x14ac:dyDescent="0.3">
      <c r="A92" s="1" t="s">
        <v>2944</v>
      </c>
      <c r="B92" s="1" t="s">
        <v>2312</v>
      </c>
      <c r="C92" s="1" t="str">
        <f>VLOOKUP(Apps[[#This Row],[CandID]],Cands[[CandID]:[Cand_Name]],2,0)</f>
        <v>Phon Oudom</v>
      </c>
      <c r="D92" s="1" t="s">
        <v>99</v>
      </c>
      <c r="E92" s="1" t="str">
        <f>_xlfn.IFNA(VLOOKUP(Apps[[#This Row],[PostID]],Posts[[PostID]:[Position]],2,0),"")</f>
        <v>Deputy Marketing Manager (event)</v>
      </c>
      <c r="F92" s="4">
        <v>45292</v>
      </c>
      <c r="G92" s="3" t="s">
        <v>2846</v>
      </c>
      <c r="H92" s="8" t="s">
        <v>3477</v>
      </c>
      <c r="I92" s="4">
        <v>45295</v>
      </c>
      <c r="J92" s="4">
        <v>45407</v>
      </c>
      <c r="M92" s="3"/>
      <c r="P92" s="5">
        <v>2500</v>
      </c>
    </row>
    <row r="93" spans="1:16" x14ac:dyDescent="0.3">
      <c r="A93" s="1" t="s">
        <v>2945</v>
      </c>
      <c r="B93" s="1" t="s">
        <v>2313</v>
      </c>
      <c r="C93" s="1" t="str">
        <f>VLOOKUP(Apps[[#This Row],[CandID]],Cands[[CandID]:[Cand_Name]],2,0)</f>
        <v>Carlos Jr</v>
      </c>
      <c r="D93" s="1" t="s">
        <v>90</v>
      </c>
      <c r="E93" s="1" t="str">
        <f>_xlfn.IFNA(VLOOKUP(Apps[[#This Row],[PostID]],Posts[[PostID]:[Position]],2,0),"")</f>
        <v>General Manager</v>
      </c>
      <c r="F93" s="4">
        <v>45261</v>
      </c>
      <c r="G93" s="3" t="s">
        <v>2847</v>
      </c>
      <c r="M93" s="3"/>
    </row>
    <row r="94" spans="1:16" x14ac:dyDescent="0.3">
      <c r="A94" s="1" t="s">
        <v>2946</v>
      </c>
      <c r="B94" s="1" t="s">
        <v>2314</v>
      </c>
      <c r="C94" s="1" t="str">
        <f>VLOOKUP(Apps[[#This Row],[CandID]],Cands[[CandID]:[Cand_Name]],2,0)</f>
        <v>Um Chetra</v>
      </c>
      <c r="D94" s="1" t="s">
        <v>94</v>
      </c>
      <c r="E94" s="1" t="str">
        <f>_xlfn.IFNA(VLOOKUP(Apps[[#This Row],[PostID]],Posts[[PostID]:[Position]],2,0),"")</f>
        <v>Farm Manager</v>
      </c>
      <c r="F94" s="4">
        <v>45261</v>
      </c>
      <c r="G94" s="3" t="s">
        <v>2847</v>
      </c>
      <c r="M94" s="3"/>
    </row>
    <row r="95" spans="1:16" x14ac:dyDescent="0.3">
      <c r="A95" s="1" t="s">
        <v>2947</v>
      </c>
      <c r="B95" s="1" t="s">
        <v>2315</v>
      </c>
      <c r="C95" s="1" t="str">
        <f>VLOOKUP(Apps[[#This Row],[CandID]],Cands[[CandID]:[Cand_Name]],2,0)</f>
        <v>Pich Moniroth</v>
      </c>
      <c r="D95" s="1" t="s">
        <v>94</v>
      </c>
      <c r="E95" s="1" t="str">
        <f>_xlfn.IFNA(VLOOKUP(Apps[[#This Row],[PostID]],Posts[[PostID]:[Position]],2,0),"")</f>
        <v>Farm Manager</v>
      </c>
      <c r="F95" s="4">
        <v>45261</v>
      </c>
      <c r="G95" s="3" t="s">
        <v>2848</v>
      </c>
      <c r="M95" s="3"/>
    </row>
    <row r="96" spans="1:16" x14ac:dyDescent="0.3">
      <c r="A96" s="1" t="s">
        <v>2948</v>
      </c>
      <c r="B96" s="1" t="s">
        <v>2316</v>
      </c>
      <c r="C96" s="1" t="str">
        <f>VLOOKUP(Apps[[#This Row],[CandID]],Cands[[CandID]:[Cand_Name]],2,0)</f>
        <v>Ya Pisey</v>
      </c>
      <c r="E96" s="1" t="str">
        <f>_xlfn.IFNA(VLOOKUP(Apps[[#This Row],[PostID]],Posts[[PostID]:[Position]],2,0),"")</f>
        <v/>
      </c>
      <c r="F96" s="4">
        <v>45261</v>
      </c>
      <c r="G96" s="3" t="s">
        <v>2848</v>
      </c>
      <c r="M96" s="3"/>
    </row>
    <row r="97" spans="1:16" x14ac:dyDescent="0.3">
      <c r="A97" s="1" t="s">
        <v>2949</v>
      </c>
      <c r="B97" s="1" t="s">
        <v>2317</v>
      </c>
      <c r="C97" s="1" t="str">
        <f>VLOOKUP(Apps[[#This Row],[CandID]],Cands[[CandID]:[Cand_Name]],2,0)</f>
        <v>Thai Vannda</v>
      </c>
      <c r="D97" s="1" t="s">
        <v>94</v>
      </c>
      <c r="E97" s="1" t="str">
        <f>_xlfn.IFNA(VLOOKUP(Apps[[#This Row],[PostID]],Posts[[PostID]:[Position]],2,0),"")</f>
        <v>Farm Manager</v>
      </c>
      <c r="F97" s="4">
        <v>45261</v>
      </c>
      <c r="G97" s="3" t="s">
        <v>2847</v>
      </c>
      <c r="M97" s="3"/>
    </row>
    <row r="98" spans="1:16" x14ac:dyDescent="0.3">
      <c r="A98" s="1" t="s">
        <v>2950</v>
      </c>
      <c r="B98" s="1" t="s">
        <v>2318</v>
      </c>
      <c r="C98" s="1" t="str">
        <f>VLOOKUP(Apps[[#This Row],[CandID]],Cands[[CandID]:[Cand_Name]],2,0)</f>
        <v>Chuon Sorathana</v>
      </c>
      <c r="D98" s="1" t="s">
        <v>94</v>
      </c>
      <c r="E98" s="1" t="str">
        <f>_xlfn.IFNA(VLOOKUP(Apps[[#This Row],[PostID]],Posts[[PostID]:[Position]],2,0),"")</f>
        <v>Farm Manager</v>
      </c>
      <c r="F98" s="4">
        <v>45261</v>
      </c>
      <c r="G98" s="3" t="s">
        <v>2847</v>
      </c>
      <c r="M98" s="3"/>
    </row>
    <row r="99" spans="1:16" x14ac:dyDescent="0.3">
      <c r="A99" s="1" t="s">
        <v>2951</v>
      </c>
      <c r="B99" s="1" t="s">
        <v>2319</v>
      </c>
      <c r="C99" s="1" t="str">
        <f>VLOOKUP(Apps[[#This Row],[CandID]],Cands[[CandID]:[Cand_Name]],2,0)</f>
        <v>Chea Sokreaksmey</v>
      </c>
      <c r="E99" s="1" t="str">
        <f>_xlfn.IFNA(VLOOKUP(Apps[[#This Row],[PostID]],Posts[[PostID]:[Position]],2,0),"")</f>
        <v/>
      </c>
      <c r="F99" s="4">
        <v>45261</v>
      </c>
      <c r="G99" s="3" t="s">
        <v>2847</v>
      </c>
      <c r="M99" s="3"/>
    </row>
    <row r="100" spans="1:16" x14ac:dyDescent="0.3">
      <c r="A100" s="1" t="s">
        <v>2952</v>
      </c>
      <c r="B100" s="1" t="s">
        <v>2320</v>
      </c>
      <c r="C100" s="1" t="str">
        <f>VLOOKUP(Apps[[#This Row],[CandID]],Cands[[CandID]:[Cand_Name]],2,0)</f>
        <v>Lanh Chivorn</v>
      </c>
      <c r="D100" s="1" t="s">
        <v>94</v>
      </c>
      <c r="E100" s="1" t="str">
        <f>_xlfn.IFNA(VLOOKUP(Apps[[#This Row],[PostID]],Posts[[PostID]:[Position]],2,0),"")</f>
        <v>Farm Manager</v>
      </c>
      <c r="F100" s="4">
        <v>45292</v>
      </c>
      <c r="G100" s="3" t="s">
        <v>2848</v>
      </c>
      <c r="H100" s="8" t="s">
        <v>3475</v>
      </c>
      <c r="K100" s="8" t="s">
        <v>3521</v>
      </c>
      <c r="M100" s="3"/>
      <c r="O100" s="5">
        <v>930</v>
      </c>
      <c r="P100" s="5">
        <v>980</v>
      </c>
    </row>
    <row r="101" spans="1:16" x14ac:dyDescent="0.3">
      <c r="A101" s="1" t="s">
        <v>2953</v>
      </c>
      <c r="B101" s="1" t="s">
        <v>2321</v>
      </c>
      <c r="C101" s="1" t="str">
        <f>VLOOKUP(Apps[[#This Row],[CandID]],Cands[[CandID]:[Cand_Name]],2,0)</f>
        <v>Chheurt Sophanna</v>
      </c>
      <c r="E101" s="1" t="str">
        <f>_xlfn.IFNA(VLOOKUP(Apps[[#This Row],[PostID]],Posts[[PostID]:[Position]],2,0),"")</f>
        <v/>
      </c>
      <c r="F101" s="4">
        <v>45261</v>
      </c>
      <c r="G101" s="3" t="s">
        <v>2848</v>
      </c>
      <c r="M101" s="3"/>
    </row>
    <row r="102" spans="1:16" x14ac:dyDescent="0.3">
      <c r="A102" s="1" t="s">
        <v>2954</v>
      </c>
      <c r="B102" s="1" t="s">
        <v>2322</v>
      </c>
      <c r="C102" s="1" t="str">
        <f>VLOOKUP(Apps[[#This Row],[CandID]],Cands[[CandID]:[Cand_Name]],2,0)</f>
        <v>Im Phanna</v>
      </c>
      <c r="D102" s="1" t="s">
        <v>94</v>
      </c>
      <c r="E102" s="1" t="str">
        <f>_xlfn.IFNA(VLOOKUP(Apps[[#This Row],[PostID]],Posts[[PostID]:[Position]],2,0),"")</f>
        <v>Farm Manager</v>
      </c>
      <c r="F102" s="4">
        <v>45261</v>
      </c>
      <c r="G102" s="3" t="s">
        <v>2847</v>
      </c>
      <c r="M102" s="3"/>
    </row>
    <row r="103" spans="1:16" x14ac:dyDescent="0.3">
      <c r="A103" s="1" t="s">
        <v>2955</v>
      </c>
      <c r="B103" s="1" t="s">
        <v>2323</v>
      </c>
      <c r="C103" s="1" t="str">
        <f>VLOOKUP(Apps[[#This Row],[CandID]],Cands[[CandID]:[Cand_Name]],2,0)</f>
        <v>Yuok Linda</v>
      </c>
      <c r="D103" s="1" t="s">
        <v>91</v>
      </c>
      <c r="E103" s="1" t="str">
        <f>_xlfn.IFNA(VLOOKUP(Apps[[#This Row],[PostID]],Posts[[PostID]:[Position]],2,0),"")</f>
        <v>Financial Controller</v>
      </c>
      <c r="F103" s="4">
        <v>45261</v>
      </c>
      <c r="G103" s="3" t="s">
        <v>2847</v>
      </c>
      <c r="M103" s="3"/>
    </row>
    <row r="104" spans="1:16" x14ac:dyDescent="0.3">
      <c r="A104" s="1" t="s">
        <v>2956</v>
      </c>
      <c r="B104" s="1" t="s">
        <v>2324</v>
      </c>
      <c r="C104" s="1" t="str">
        <f>VLOOKUP(Apps[[#This Row],[CandID]],Cands[[CandID]:[Cand_Name]],2,0)</f>
        <v>Lou Sambath</v>
      </c>
      <c r="D104" s="1" t="s">
        <v>94</v>
      </c>
      <c r="E104" s="1" t="str">
        <f>_xlfn.IFNA(VLOOKUP(Apps[[#This Row],[PostID]],Posts[[PostID]:[Position]],2,0),"")</f>
        <v>Farm Manager</v>
      </c>
      <c r="F104" s="4">
        <v>45261</v>
      </c>
      <c r="G104" s="3" t="s">
        <v>2847</v>
      </c>
      <c r="M104" s="3"/>
    </row>
    <row r="105" spans="1:16" x14ac:dyDescent="0.3">
      <c r="A105" s="1" t="s">
        <v>2957</v>
      </c>
      <c r="B105" s="1" t="s">
        <v>2325</v>
      </c>
      <c r="C105" s="1" t="str">
        <f>VLOOKUP(Apps[[#This Row],[CandID]],Cands[[CandID]:[Cand_Name]],2,0)</f>
        <v>Sok Thounkimsorng</v>
      </c>
      <c r="D105" s="1" t="s">
        <v>94</v>
      </c>
      <c r="E105" s="1" t="str">
        <f>_xlfn.IFNA(VLOOKUP(Apps[[#This Row],[PostID]],Posts[[PostID]:[Position]],2,0),"")</f>
        <v>Farm Manager</v>
      </c>
      <c r="F105" s="4">
        <v>45261</v>
      </c>
      <c r="G105" s="3" t="s">
        <v>2847</v>
      </c>
      <c r="M105" s="3"/>
    </row>
    <row r="106" spans="1:16" x14ac:dyDescent="0.3">
      <c r="A106" s="1" t="s">
        <v>2958</v>
      </c>
      <c r="B106" s="1" t="s">
        <v>2326</v>
      </c>
      <c r="C106" s="1" t="str">
        <f>VLOOKUP(Apps[[#This Row],[CandID]],Cands[[CandID]:[Cand_Name]],2,0)</f>
        <v>Mao Sothearith</v>
      </c>
      <c r="D106" s="1" t="s">
        <v>94</v>
      </c>
      <c r="E106" s="1" t="str">
        <f>_xlfn.IFNA(VLOOKUP(Apps[[#This Row],[PostID]],Posts[[PostID]:[Position]],2,0),"")</f>
        <v>Farm Manager</v>
      </c>
      <c r="F106" s="4">
        <v>45261</v>
      </c>
      <c r="G106" s="3" t="s">
        <v>2847</v>
      </c>
      <c r="M106" s="3"/>
    </row>
    <row r="107" spans="1:16" x14ac:dyDescent="0.3">
      <c r="A107" s="1" t="s">
        <v>2959</v>
      </c>
      <c r="B107" s="1" t="s">
        <v>2327</v>
      </c>
      <c r="C107" s="1" t="str">
        <f>VLOOKUP(Apps[[#This Row],[CandID]],Cands[[CandID]:[Cand_Name]],2,0)</f>
        <v>Nol Pichchantha</v>
      </c>
      <c r="D107" s="1" t="s">
        <v>99</v>
      </c>
      <c r="E107" s="1" t="str">
        <f>_xlfn.IFNA(VLOOKUP(Apps[[#This Row],[PostID]],Posts[[PostID]:[Position]],2,0),"")</f>
        <v>Deputy Marketing Manager (event)</v>
      </c>
      <c r="F107" s="4">
        <v>45261</v>
      </c>
      <c r="G107" s="3" t="s">
        <v>2848</v>
      </c>
      <c r="M107" s="3"/>
    </row>
    <row r="108" spans="1:16" x14ac:dyDescent="0.3">
      <c r="A108" s="1" t="s">
        <v>2960</v>
      </c>
      <c r="B108" s="1" t="s">
        <v>2328</v>
      </c>
      <c r="C108" s="1" t="str">
        <f>VLOOKUP(Apps[[#This Row],[CandID]],Cands[[CandID]:[Cand_Name]],2,0)</f>
        <v>Nov Sokmeng</v>
      </c>
      <c r="E108" s="1" t="str">
        <f>_xlfn.IFNA(VLOOKUP(Apps[[#This Row],[PostID]],Posts[[PostID]:[Position]],2,0),"")</f>
        <v/>
      </c>
      <c r="F108" s="4">
        <v>45261</v>
      </c>
      <c r="G108" s="3" t="s">
        <v>2847</v>
      </c>
      <c r="M108" s="3"/>
    </row>
    <row r="109" spans="1:16" x14ac:dyDescent="0.3">
      <c r="A109" s="1" t="s">
        <v>2961</v>
      </c>
      <c r="B109" s="1" t="s">
        <v>2329</v>
      </c>
      <c r="C109" s="1" t="str">
        <f>VLOOKUP(Apps[[#This Row],[CandID]],Cands[[CandID]:[Cand_Name]],2,0)</f>
        <v>Khom Sovanreach</v>
      </c>
      <c r="E109" s="1" t="str">
        <f>_xlfn.IFNA(VLOOKUP(Apps[[#This Row],[PostID]],Posts[[PostID]:[Position]],2,0),"")</f>
        <v/>
      </c>
      <c r="F109" s="4">
        <v>45261</v>
      </c>
      <c r="G109" s="3" t="s">
        <v>2847</v>
      </c>
      <c r="M109" s="3"/>
    </row>
    <row r="110" spans="1:16" x14ac:dyDescent="0.3">
      <c r="A110" s="1" t="s">
        <v>2962</v>
      </c>
      <c r="B110" s="1" t="s">
        <v>2330</v>
      </c>
      <c r="C110" s="1" t="str">
        <f>VLOOKUP(Apps[[#This Row],[CandID]],Cands[[CandID]:[Cand_Name]],2,0)</f>
        <v>Yorn Sovanratha</v>
      </c>
      <c r="E110" s="1" t="str">
        <f>_xlfn.IFNA(VLOOKUP(Apps[[#This Row],[PostID]],Posts[[PostID]:[Position]],2,0),"")</f>
        <v/>
      </c>
      <c r="F110" s="4">
        <v>45261</v>
      </c>
      <c r="G110" s="3" t="s">
        <v>2848</v>
      </c>
      <c r="M110" s="3"/>
    </row>
    <row r="111" spans="1:16" x14ac:dyDescent="0.3">
      <c r="A111" s="1" t="s">
        <v>2963</v>
      </c>
      <c r="B111" s="1" t="s">
        <v>2331</v>
      </c>
      <c r="C111" s="1" t="str">
        <f>VLOOKUP(Apps[[#This Row],[CandID]],Cands[[CandID]:[Cand_Name]],2,0)</f>
        <v>Kim Pharith</v>
      </c>
      <c r="E111" s="1" t="str">
        <f>_xlfn.IFNA(VLOOKUP(Apps[[#This Row],[PostID]],Posts[[PostID]:[Position]],2,0),"")</f>
        <v/>
      </c>
      <c r="F111" s="4">
        <v>45261</v>
      </c>
      <c r="G111" s="3" t="s">
        <v>2847</v>
      </c>
      <c r="M111" s="3"/>
    </row>
    <row r="112" spans="1:16" x14ac:dyDescent="0.3">
      <c r="A112" s="1" t="s">
        <v>2964</v>
      </c>
      <c r="B112" s="1" t="s">
        <v>2332</v>
      </c>
      <c r="C112" s="1" t="str">
        <f>VLOOKUP(Apps[[#This Row],[CandID]],Cands[[CandID]:[Cand_Name]],2,0)</f>
        <v>Yin Sok An.</v>
      </c>
      <c r="D112" s="1" t="s">
        <v>99</v>
      </c>
      <c r="E112" s="1" t="str">
        <f>_xlfn.IFNA(VLOOKUP(Apps[[#This Row],[PostID]],Posts[[PostID]:[Position]],2,0),"")</f>
        <v>Deputy Marketing Manager (event)</v>
      </c>
      <c r="F112" s="4">
        <v>45261</v>
      </c>
      <c r="G112" s="3" t="s">
        <v>2848</v>
      </c>
      <c r="M112" s="3"/>
    </row>
    <row r="113" spans="1:16" x14ac:dyDescent="0.3">
      <c r="A113" s="1" t="s">
        <v>2965</v>
      </c>
      <c r="B113" s="1" t="s">
        <v>2333</v>
      </c>
      <c r="C113" s="1" t="str">
        <f>VLOOKUP(Apps[[#This Row],[CandID]],Cands[[CandID]:[Cand_Name]],2,0)</f>
        <v>Toem Vath</v>
      </c>
      <c r="D113" s="1" t="s">
        <v>94</v>
      </c>
      <c r="E113" s="1" t="str">
        <f>_xlfn.IFNA(VLOOKUP(Apps[[#This Row],[PostID]],Posts[[PostID]:[Position]],2,0),"")</f>
        <v>Farm Manager</v>
      </c>
      <c r="F113" s="4">
        <v>45292</v>
      </c>
      <c r="G113" s="3" t="s">
        <v>2848</v>
      </c>
      <c r="H113" s="8" t="s">
        <v>3477</v>
      </c>
      <c r="I113" s="4">
        <v>45292</v>
      </c>
      <c r="K113" s="8" t="s">
        <v>3521</v>
      </c>
      <c r="M113" s="3"/>
      <c r="N113" s="3" t="s">
        <v>3477</v>
      </c>
      <c r="O113" s="5">
        <v>650</v>
      </c>
      <c r="P113" s="5">
        <v>670</v>
      </c>
    </row>
    <row r="114" spans="1:16" x14ac:dyDescent="0.3">
      <c r="A114" s="1" t="s">
        <v>2966</v>
      </c>
      <c r="B114" s="1" t="s">
        <v>2334</v>
      </c>
      <c r="C114" s="1" t="str">
        <f>VLOOKUP(Apps[[#This Row],[CandID]],Cands[[CandID]:[Cand_Name]],2,0)</f>
        <v>An Sum Srun</v>
      </c>
      <c r="D114" s="1" t="s">
        <v>94</v>
      </c>
      <c r="E114" s="1" t="str">
        <f>_xlfn.IFNA(VLOOKUP(Apps[[#This Row],[PostID]],Posts[[PostID]:[Position]],2,0),"")</f>
        <v>Farm Manager</v>
      </c>
      <c r="F114" s="4">
        <v>45292</v>
      </c>
      <c r="G114" s="3" t="s">
        <v>2847</v>
      </c>
      <c r="H114" s="8" t="s">
        <v>3477</v>
      </c>
      <c r="I114" s="4">
        <v>45308</v>
      </c>
      <c r="M114" s="3"/>
      <c r="O114" s="5">
        <v>1800</v>
      </c>
      <c r="P114" s="5">
        <v>2000</v>
      </c>
    </row>
    <row r="115" spans="1:16" x14ac:dyDescent="0.3">
      <c r="A115" s="1" t="s">
        <v>2967</v>
      </c>
      <c r="B115" s="1" t="s">
        <v>2335</v>
      </c>
      <c r="C115" s="1" t="str">
        <f>VLOOKUP(Apps[[#This Row],[CandID]],Cands[[CandID]:[Cand_Name]],2,0)</f>
        <v>Nhet Thy</v>
      </c>
      <c r="D115" s="1" t="s">
        <v>94</v>
      </c>
      <c r="E115" s="1" t="str">
        <f>_xlfn.IFNA(VLOOKUP(Apps[[#This Row],[PostID]],Posts[[PostID]:[Position]],2,0),"")</f>
        <v>Farm Manager</v>
      </c>
      <c r="F115" s="4">
        <v>45292</v>
      </c>
      <c r="G115" s="3" t="s">
        <v>2847</v>
      </c>
      <c r="H115" s="8" t="s">
        <v>3477</v>
      </c>
      <c r="I115" s="4">
        <v>45308</v>
      </c>
      <c r="M115" s="3"/>
      <c r="O115" s="5">
        <v>1650</v>
      </c>
      <c r="P115" s="5">
        <v>1700</v>
      </c>
    </row>
    <row r="116" spans="1:16" x14ac:dyDescent="0.3">
      <c r="A116" s="1" t="s">
        <v>2968</v>
      </c>
      <c r="B116" s="1" t="s">
        <v>2336</v>
      </c>
      <c r="C116" s="1" t="str">
        <f>VLOOKUP(Apps[[#This Row],[CandID]],Cands[[CandID]:[Cand_Name]],2,0)</f>
        <v>Chheurt Sophanna</v>
      </c>
      <c r="D116" s="1" t="s">
        <v>100</v>
      </c>
      <c r="E116" s="1" t="str">
        <f>_xlfn.IFNA(VLOOKUP(Apps[[#This Row],[PostID]],Posts[[PostID]:[Position]],2,0),"")</f>
        <v>Sales Director</v>
      </c>
      <c r="F116" s="4">
        <v>45292</v>
      </c>
      <c r="G116" s="3" t="s">
        <v>2848</v>
      </c>
      <c r="H116" s="8" t="s">
        <v>3477</v>
      </c>
      <c r="I116" s="4">
        <v>45310</v>
      </c>
      <c r="M116" s="3"/>
      <c r="O116" s="5">
        <v>220</v>
      </c>
      <c r="P116" s="5">
        <v>220</v>
      </c>
    </row>
    <row r="117" spans="1:16" x14ac:dyDescent="0.3">
      <c r="A117" s="1" t="s">
        <v>2969</v>
      </c>
      <c r="B117" s="1" t="s">
        <v>2337</v>
      </c>
      <c r="C117" s="1" t="str">
        <f>VLOOKUP(Apps[[#This Row],[CandID]],Cands[[CandID]:[Cand_Name]],2,0)</f>
        <v>Uk Samrach</v>
      </c>
      <c r="D117" s="1" t="s">
        <v>99</v>
      </c>
      <c r="E117" s="1" t="str">
        <f>_xlfn.IFNA(VLOOKUP(Apps[[#This Row],[PostID]],Posts[[PostID]:[Position]],2,0),"")</f>
        <v>Deputy Marketing Manager (event)</v>
      </c>
      <c r="F117" s="4">
        <v>45261</v>
      </c>
      <c r="G117" s="3" t="s">
        <v>2847</v>
      </c>
      <c r="M117" s="3"/>
    </row>
    <row r="118" spans="1:16" x14ac:dyDescent="0.3">
      <c r="A118" s="1" t="s">
        <v>2970</v>
      </c>
      <c r="B118" s="1" t="s">
        <v>2338</v>
      </c>
      <c r="C118" s="1" t="str">
        <f>VLOOKUP(Apps[[#This Row],[CandID]],Cands[[CandID]:[Cand_Name]],2,0)</f>
        <v>Keo Sochhaka</v>
      </c>
      <c r="D118" s="1" t="s">
        <v>99</v>
      </c>
      <c r="E118" s="1" t="str">
        <f>_xlfn.IFNA(VLOOKUP(Apps[[#This Row],[PostID]],Posts[[PostID]:[Position]],2,0),"")</f>
        <v>Deputy Marketing Manager (event)</v>
      </c>
      <c r="F118" s="4">
        <v>45292</v>
      </c>
      <c r="G118" s="3" t="s">
        <v>2847</v>
      </c>
      <c r="H118" s="8" t="s">
        <v>3475</v>
      </c>
      <c r="K118" s="8" t="s">
        <v>3521</v>
      </c>
      <c r="M118" s="3"/>
    </row>
    <row r="119" spans="1:16" x14ac:dyDescent="0.3">
      <c r="A119" s="1" t="s">
        <v>2971</v>
      </c>
      <c r="B119" s="1" t="s">
        <v>2339</v>
      </c>
      <c r="C119" s="1" t="str">
        <f>VLOOKUP(Apps[[#This Row],[CandID]],Cands[[CandID]:[Cand_Name]],2,0)</f>
        <v>Pol Pichchantha</v>
      </c>
      <c r="D119" s="1" t="s">
        <v>99</v>
      </c>
      <c r="E119" s="1" t="str">
        <f>_xlfn.IFNA(VLOOKUP(Apps[[#This Row],[PostID]],Posts[[PostID]:[Position]],2,0),"")</f>
        <v>Deputy Marketing Manager (event)</v>
      </c>
      <c r="F119" s="4">
        <v>45261</v>
      </c>
      <c r="G119" s="3" t="s">
        <v>2847</v>
      </c>
      <c r="M119" s="3"/>
    </row>
    <row r="120" spans="1:16" x14ac:dyDescent="0.3">
      <c r="A120" s="1" t="s">
        <v>2972</v>
      </c>
      <c r="B120" s="1" t="s">
        <v>2340</v>
      </c>
      <c r="C120" s="1" t="str">
        <f>VLOOKUP(Apps[[#This Row],[CandID]],Cands[[CandID]:[Cand_Name]],2,0)</f>
        <v>Soeurn Sith</v>
      </c>
      <c r="D120" s="1" t="s">
        <v>99</v>
      </c>
      <c r="E120" s="1" t="str">
        <f>_xlfn.IFNA(VLOOKUP(Apps[[#This Row],[PostID]],Posts[[PostID]:[Position]],2,0),"")</f>
        <v>Deputy Marketing Manager (event)</v>
      </c>
      <c r="F120" s="4">
        <v>45261</v>
      </c>
      <c r="G120" s="3" t="s">
        <v>2847</v>
      </c>
      <c r="M120" s="3"/>
    </row>
    <row r="121" spans="1:16" x14ac:dyDescent="0.3">
      <c r="A121" s="1" t="s">
        <v>2973</v>
      </c>
      <c r="B121" s="1" t="s">
        <v>2341</v>
      </c>
      <c r="C121" s="1" t="str">
        <f>VLOOKUP(Apps[[#This Row],[CandID]],Cands[[CandID]:[Cand_Name]],2,0)</f>
        <v>Thong Sophea</v>
      </c>
      <c r="E121" s="1" t="str">
        <f>_xlfn.IFNA(VLOOKUP(Apps[[#This Row],[PostID]],Posts[[PostID]:[Position]],2,0),"")</f>
        <v/>
      </c>
      <c r="F121" s="4">
        <v>45261</v>
      </c>
      <c r="G121" s="3" t="s">
        <v>2846</v>
      </c>
      <c r="M121" s="3"/>
    </row>
    <row r="122" spans="1:16" x14ac:dyDescent="0.3">
      <c r="A122" s="1" t="s">
        <v>2974</v>
      </c>
      <c r="B122" s="1" t="s">
        <v>2342</v>
      </c>
      <c r="C122" s="1" t="str">
        <f>VLOOKUP(Apps[[#This Row],[CandID]],Cands[[CandID]:[Cand_Name]],2,0)</f>
        <v>Toun Lypook</v>
      </c>
      <c r="E122" s="1" t="str">
        <f>_xlfn.IFNA(VLOOKUP(Apps[[#This Row],[PostID]],Posts[[PostID]:[Position]],2,0),"")</f>
        <v/>
      </c>
      <c r="F122" s="4">
        <v>45292</v>
      </c>
      <c r="G122" s="3" t="s">
        <v>2846</v>
      </c>
      <c r="H122" s="8" t="s">
        <v>3477</v>
      </c>
      <c r="I122" s="4">
        <v>45306</v>
      </c>
      <c r="M122" s="3"/>
    </row>
    <row r="123" spans="1:16" x14ac:dyDescent="0.3">
      <c r="A123" s="1" t="s">
        <v>2975</v>
      </c>
      <c r="B123" s="1" t="s">
        <v>2343</v>
      </c>
      <c r="C123" s="1" t="str">
        <f>VLOOKUP(Apps[[#This Row],[CandID]],Cands[[CandID]:[Cand_Name]],2,0)</f>
        <v>Suy Chanry</v>
      </c>
      <c r="D123" s="1" t="s">
        <v>100</v>
      </c>
      <c r="E123" s="1" t="str">
        <f>_xlfn.IFNA(VLOOKUP(Apps[[#This Row],[PostID]],Posts[[PostID]:[Position]],2,0),"")</f>
        <v>Sales Director</v>
      </c>
      <c r="F123" s="4">
        <v>45292</v>
      </c>
      <c r="G123" s="3" t="s">
        <v>2847</v>
      </c>
      <c r="H123" s="8" t="s">
        <v>3477</v>
      </c>
      <c r="I123" s="4">
        <v>45296</v>
      </c>
      <c r="M123" s="3"/>
    </row>
    <row r="124" spans="1:16" x14ac:dyDescent="0.3">
      <c r="A124" s="1" t="s">
        <v>2976</v>
      </c>
      <c r="B124" s="1" t="s">
        <v>2344</v>
      </c>
      <c r="C124" s="1" t="str">
        <f>VLOOKUP(Apps[[#This Row],[CandID]],Cands[[CandID]:[Cand_Name]],2,0)</f>
        <v>Muth Yada</v>
      </c>
      <c r="D124" s="1" t="s">
        <v>90</v>
      </c>
      <c r="E124" s="1" t="str">
        <f>_xlfn.IFNA(VLOOKUP(Apps[[#This Row],[PostID]],Posts[[PostID]:[Position]],2,0),"")</f>
        <v>General Manager</v>
      </c>
      <c r="F124" s="4">
        <v>45292</v>
      </c>
      <c r="G124" s="3" t="s">
        <v>2847</v>
      </c>
      <c r="H124" s="8" t="s">
        <v>3477</v>
      </c>
      <c r="I124" s="4">
        <v>45296</v>
      </c>
      <c r="J124" s="4">
        <v>45308</v>
      </c>
      <c r="M124" s="3"/>
    </row>
    <row r="125" spans="1:16" x14ac:dyDescent="0.3">
      <c r="A125" s="1" t="s">
        <v>2977</v>
      </c>
      <c r="B125" s="1" t="s">
        <v>2345</v>
      </c>
      <c r="C125" s="1" t="str">
        <f>VLOOKUP(Apps[[#This Row],[CandID]],Cands[[CandID]:[Cand_Name]],2,0)</f>
        <v>Chea Sopheap</v>
      </c>
      <c r="D125" s="1" t="s">
        <v>90</v>
      </c>
      <c r="E125" s="1" t="str">
        <f>_xlfn.IFNA(VLOOKUP(Apps[[#This Row],[PostID]],Posts[[PostID]:[Position]],2,0),"")</f>
        <v>General Manager</v>
      </c>
      <c r="F125" s="4">
        <v>45292</v>
      </c>
      <c r="G125" s="3" t="s">
        <v>2847</v>
      </c>
      <c r="H125" s="8" t="s">
        <v>3477</v>
      </c>
      <c r="I125" s="4">
        <v>45302</v>
      </c>
      <c r="J125" s="4">
        <v>45308</v>
      </c>
      <c r="K125" s="8" t="s">
        <v>3521</v>
      </c>
      <c r="M125" s="3"/>
      <c r="N125" s="3" t="s">
        <v>3477</v>
      </c>
    </row>
    <row r="126" spans="1:16" x14ac:dyDescent="0.3">
      <c r="A126" s="1" t="s">
        <v>2978</v>
      </c>
      <c r="B126" s="1" t="s">
        <v>2346</v>
      </c>
      <c r="C126" s="1" t="str">
        <f>VLOOKUP(Apps[[#This Row],[CandID]],Cands[[CandID]:[Cand_Name]],2,0)</f>
        <v>Chum Veasna</v>
      </c>
      <c r="D126" s="1" t="s">
        <v>90</v>
      </c>
      <c r="E126" s="1" t="str">
        <f>_xlfn.IFNA(VLOOKUP(Apps[[#This Row],[PostID]],Posts[[PostID]:[Position]],2,0),"")</f>
        <v>General Manager</v>
      </c>
      <c r="F126" s="4">
        <v>45292</v>
      </c>
      <c r="G126" s="3" t="s">
        <v>2847</v>
      </c>
      <c r="H126" s="8" t="s">
        <v>3475</v>
      </c>
      <c r="K126" s="8" t="s">
        <v>3521</v>
      </c>
      <c r="M126" s="3"/>
    </row>
    <row r="127" spans="1:16" x14ac:dyDescent="0.3">
      <c r="A127" s="1" t="s">
        <v>2979</v>
      </c>
      <c r="B127" s="1" t="s">
        <v>2347</v>
      </c>
      <c r="C127" s="1" t="str">
        <f>VLOOKUP(Apps[[#This Row],[CandID]],Cands[[CandID]:[Cand_Name]],2,0)</f>
        <v>Nhen Thy</v>
      </c>
      <c r="D127" s="1" t="s">
        <v>94</v>
      </c>
      <c r="E127" s="1" t="str">
        <f>_xlfn.IFNA(VLOOKUP(Apps[[#This Row],[PostID]],Posts[[PostID]:[Position]],2,0),"")</f>
        <v>Farm Manager</v>
      </c>
      <c r="F127" s="4">
        <v>45292</v>
      </c>
      <c r="G127" s="3" t="s">
        <v>2847</v>
      </c>
      <c r="H127" s="8" t="s">
        <v>3477</v>
      </c>
      <c r="I127" s="4">
        <v>45298</v>
      </c>
      <c r="M127" s="3"/>
    </row>
    <row r="128" spans="1:16" x14ac:dyDescent="0.3">
      <c r="A128" s="1" t="s">
        <v>2980</v>
      </c>
      <c r="B128" s="1" t="s">
        <v>2348</v>
      </c>
      <c r="C128" s="1" t="str">
        <f>VLOOKUP(Apps[[#This Row],[CandID]],Cands[[CandID]:[Cand_Name]],2,0)</f>
        <v>Theng Chanthy</v>
      </c>
      <c r="D128" s="1" t="s">
        <v>100</v>
      </c>
      <c r="E128" s="1" t="str">
        <f>_xlfn.IFNA(VLOOKUP(Apps[[#This Row],[PostID]],Posts[[PostID]:[Position]],2,0),"")</f>
        <v>Sales Director</v>
      </c>
      <c r="F128" s="4">
        <v>45292</v>
      </c>
      <c r="G128" s="3" t="s">
        <v>2845</v>
      </c>
      <c r="H128" s="8" t="s">
        <v>3477</v>
      </c>
      <c r="I128" s="4">
        <v>45292</v>
      </c>
      <c r="M128" s="3"/>
    </row>
    <row r="129" spans="1:16" x14ac:dyDescent="0.3">
      <c r="A129" s="1" t="s">
        <v>2981</v>
      </c>
      <c r="B129" s="1" t="s">
        <v>2349</v>
      </c>
      <c r="C129" s="1" t="str">
        <f>VLOOKUP(Apps[[#This Row],[CandID]],Cands[[CandID]:[Cand_Name]],2,0)</f>
        <v>Raksmey Dina</v>
      </c>
      <c r="E129" s="1" t="str">
        <f>_xlfn.IFNA(VLOOKUP(Apps[[#This Row],[PostID]],Posts[[PostID]:[Position]],2,0),"")</f>
        <v/>
      </c>
      <c r="F129" s="4">
        <v>45292</v>
      </c>
      <c r="G129" s="3" t="s">
        <v>2848</v>
      </c>
      <c r="H129" s="8" t="s">
        <v>3477</v>
      </c>
      <c r="I129" s="4">
        <v>45293</v>
      </c>
      <c r="M129" s="3"/>
    </row>
    <row r="130" spans="1:16" x14ac:dyDescent="0.3">
      <c r="A130" s="1" t="s">
        <v>2982</v>
      </c>
      <c r="B130" s="1" t="s">
        <v>2350</v>
      </c>
      <c r="C130" s="1" t="str">
        <f>VLOOKUP(Apps[[#This Row],[CandID]],Cands[[CandID]:[Cand_Name]],2,0)</f>
        <v>Vay Kakada</v>
      </c>
      <c r="D130" s="1" t="s">
        <v>100</v>
      </c>
      <c r="E130" s="1" t="str">
        <f>_xlfn.IFNA(VLOOKUP(Apps[[#This Row],[PostID]],Posts[[PostID]:[Position]],2,0),"")</f>
        <v>Sales Director</v>
      </c>
      <c r="F130" s="4">
        <v>45293</v>
      </c>
      <c r="G130" s="3" t="s">
        <v>2848</v>
      </c>
      <c r="H130" s="8" t="s">
        <v>3477</v>
      </c>
      <c r="I130" s="4">
        <v>45310</v>
      </c>
      <c r="K130" s="8" t="s">
        <v>3521</v>
      </c>
      <c r="M130" s="3"/>
      <c r="N130" s="3" t="s">
        <v>3477</v>
      </c>
      <c r="O130" s="5">
        <v>150</v>
      </c>
      <c r="P130" s="5">
        <v>250</v>
      </c>
    </row>
    <row r="131" spans="1:16" x14ac:dyDescent="0.3">
      <c r="A131" s="1" t="s">
        <v>2983</v>
      </c>
      <c r="B131" s="1" t="s">
        <v>2351</v>
      </c>
      <c r="C131" s="1" t="str">
        <f>VLOOKUP(Apps[[#This Row],[CandID]],Cands[[CandID]:[Cand_Name]],2,0)</f>
        <v>Chheak Machhem</v>
      </c>
      <c r="D131" s="1" t="s">
        <v>99</v>
      </c>
      <c r="E131" s="1" t="str">
        <f>_xlfn.IFNA(VLOOKUP(Apps[[#This Row],[PostID]],Posts[[PostID]:[Position]],2,0),"")</f>
        <v>Deputy Marketing Manager (event)</v>
      </c>
      <c r="F131" s="4">
        <v>45293</v>
      </c>
      <c r="G131" s="3" t="s">
        <v>2846</v>
      </c>
      <c r="M131" s="3"/>
    </row>
    <row r="132" spans="1:16" x14ac:dyDescent="0.3">
      <c r="A132" s="1" t="s">
        <v>2984</v>
      </c>
      <c r="B132" s="1" t="s">
        <v>2352</v>
      </c>
      <c r="C132" s="1" t="str">
        <f>VLOOKUP(Apps[[#This Row],[CandID]],Cands[[CandID]:[Cand_Name]],2,0)</f>
        <v>Long Veasna</v>
      </c>
      <c r="D132" s="1" t="s">
        <v>94</v>
      </c>
      <c r="E132" s="1" t="str">
        <f>_xlfn.IFNA(VLOOKUP(Apps[[#This Row],[PostID]],Posts[[PostID]:[Position]],2,0),"")</f>
        <v>Farm Manager</v>
      </c>
      <c r="F132" s="4">
        <v>45293</v>
      </c>
      <c r="G132" s="3" t="s">
        <v>2847</v>
      </c>
      <c r="M132" s="3"/>
    </row>
    <row r="133" spans="1:16" x14ac:dyDescent="0.3">
      <c r="A133" s="1" t="s">
        <v>2985</v>
      </c>
      <c r="B133" s="1" t="s">
        <v>2353</v>
      </c>
      <c r="C133" s="1" t="str">
        <f>VLOOKUP(Apps[[#This Row],[CandID]],Cands[[CandID]:[Cand_Name]],2,0)</f>
        <v>Sam Chanthou</v>
      </c>
      <c r="D133" s="1" t="s">
        <v>94</v>
      </c>
      <c r="E133" s="1" t="str">
        <f>_xlfn.IFNA(VLOOKUP(Apps[[#This Row],[PostID]],Posts[[PostID]:[Position]],2,0),"")</f>
        <v>Farm Manager</v>
      </c>
      <c r="F133" s="4">
        <v>45294</v>
      </c>
      <c r="G133" s="3" t="s">
        <v>2847</v>
      </c>
      <c r="H133" s="8" t="s">
        <v>3477</v>
      </c>
      <c r="I133" s="4">
        <v>45308</v>
      </c>
      <c r="K133" s="8" t="s">
        <v>3521</v>
      </c>
      <c r="M133" s="3"/>
      <c r="N133" s="3" t="s">
        <v>3477</v>
      </c>
      <c r="P133" s="5">
        <v>2500</v>
      </c>
    </row>
    <row r="134" spans="1:16" x14ac:dyDescent="0.3">
      <c r="A134" s="1" t="s">
        <v>2986</v>
      </c>
      <c r="B134" s="1" t="s">
        <v>2354</v>
      </c>
      <c r="C134" s="1" t="str">
        <f>VLOOKUP(Apps[[#This Row],[CandID]],Cands[[CandID]:[Cand_Name]],2,0)</f>
        <v>Suo Dara</v>
      </c>
      <c r="D134" s="1" t="s">
        <v>94</v>
      </c>
      <c r="E134" s="1" t="str">
        <f>_xlfn.IFNA(VLOOKUP(Apps[[#This Row],[PostID]],Posts[[PostID]:[Position]],2,0),"")</f>
        <v>Farm Manager</v>
      </c>
      <c r="F134" s="4">
        <v>45294</v>
      </c>
      <c r="G134" s="3" t="s">
        <v>2847</v>
      </c>
      <c r="H134" s="8" t="s">
        <v>3477</v>
      </c>
      <c r="I134" s="4">
        <v>45308</v>
      </c>
      <c r="K134" s="8" t="s">
        <v>3521</v>
      </c>
      <c r="M134" s="3"/>
      <c r="N134" s="3" t="s">
        <v>3477</v>
      </c>
      <c r="O134" s="5">
        <v>1900</v>
      </c>
      <c r="P134" s="5">
        <v>1900</v>
      </c>
    </row>
    <row r="135" spans="1:16" x14ac:dyDescent="0.3">
      <c r="A135" s="1" t="s">
        <v>2987</v>
      </c>
      <c r="B135" s="1" t="s">
        <v>2355</v>
      </c>
      <c r="C135" s="1" t="str">
        <f>VLOOKUP(Apps[[#This Row],[CandID]],Cands[[CandID]:[Cand_Name]],2,0)</f>
        <v>Phon Sopheaktra</v>
      </c>
      <c r="D135" s="1" t="s">
        <v>99</v>
      </c>
      <c r="E135" s="1" t="str">
        <f>_xlfn.IFNA(VLOOKUP(Apps[[#This Row],[PostID]],Posts[[PostID]:[Position]],2,0),"")</f>
        <v>Deputy Marketing Manager (event)</v>
      </c>
      <c r="F135" s="4">
        <v>45294</v>
      </c>
      <c r="G135" s="3" t="s">
        <v>2847</v>
      </c>
      <c r="M135" s="3"/>
    </row>
    <row r="136" spans="1:16" x14ac:dyDescent="0.3">
      <c r="A136" s="1" t="s">
        <v>2988</v>
      </c>
      <c r="B136" s="1" t="s">
        <v>2356</v>
      </c>
      <c r="C136" s="1" t="str">
        <f>VLOOKUP(Apps[[#This Row],[CandID]],Cands[[CandID]:[Cand_Name]],2,0)</f>
        <v>Um Chansothea</v>
      </c>
      <c r="E136" s="1" t="str">
        <f>_xlfn.IFNA(VLOOKUP(Apps[[#This Row],[PostID]],Posts[[PostID]:[Position]],2,0),"")</f>
        <v/>
      </c>
      <c r="F136" s="4">
        <v>45294</v>
      </c>
      <c r="G136" s="3" t="s">
        <v>2847</v>
      </c>
      <c r="M136" s="3"/>
    </row>
    <row r="137" spans="1:16" x14ac:dyDescent="0.3">
      <c r="A137" s="1" t="s">
        <v>2989</v>
      </c>
      <c r="B137" s="1" t="s">
        <v>2357</v>
      </c>
      <c r="C137" s="1" t="str">
        <f>VLOOKUP(Apps[[#This Row],[CandID]],Cands[[CandID]:[Cand_Name]],2,0)</f>
        <v>Min Myatmin</v>
      </c>
      <c r="D137" s="1" t="s">
        <v>94</v>
      </c>
      <c r="E137" s="1" t="str">
        <f>_xlfn.IFNA(VLOOKUP(Apps[[#This Row],[PostID]],Posts[[PostID]:[Position]],2,0),"")</f>
        <v>Farm Manager</v>
      </c>
      <c r="F137" s="4">
        <v>45294</v>
      </c>
      <c r="G137" s="3" t="s">
        <v>2847</v>
      </c>
      <c r="M137" s="3"/>
    </row>
    <row r="138" spans="1:16" x14ac:dyDescent="0.3">
      <c r="A138" s="1" t="s">
        <v>2990</v>
      </c>
      <c r="B138" s="1" t="s">
        <v>2358</v>
      </c>
      <c r="C138" s="1" t="str">
        <f>VLOOKUP(Apps[[#This Row],[CandID]],Cands[[CandID]:[Cand_Name]],2,0)</f>
        <v>Phai Sreyrath</v>
      </c>
      <c r="D138" s="1" t="s">
        <v>126</v>
      </c>
      <c r="E138" s="1" t="str">
        <f>_xlfn.IFNA(VLOOKUP(Apps[[#This Row],[PostID]],Posts[[PostID]:[Position]],2,0),"")</f>
        <v>Architect</v>
      </c>
      <c r="F138" s="4">
        <v>45294</v>
      </c>
      <c r="G138" s="3" t="s">
        <v>2847</v>
      </c>
      <c r="M138" s="3"/>
    </row>
    <row r="139" spans="1:16" x14ac:dyDescent="0.3">
      <c r="A139" s="1" t="s">
        <v>2991</v>
      </c>
      <c r="B139" s="1" t="s">
        <v>2359</v>
      </c>
      <c r="C139" s="1" t="str">
        <f>VLOOKUP(Apps[[#This Row],[CandID]],Cands[[CandID]:[Cand_Name]],2,0)</f>
        <v>Muhammad Yaseen</v>
      </c>
      <c r="D139" s="1" t="s">
        <v>94</v>
      </c>
      <c r="E139" s="1" t="str">
        <f>_xlfn.IFNA(VLOOKUP(Apps[[#This Row],[PostID]],Posts[[PostID]:[Position]],2,0),"")</f>
        <v>Farm Manager</v>
      </c>
      <c r="F139" s="4">
        <v>45294</v>
      </c>
      <c r="G139" s="3" t="s">
        <v>2847</v>
      </c>
      <c r="M139" s="3"/>
    </row>
    <row r="140" spans="1:16" x14ac:dyDescent="0.3">
      <c r="A140" s="1" t="s">
        <v>2992</v>
      </c>
      <c r="B140" s="1" t="s">
        <v>2360</v>
      </c>
      <c r="C140" s="1" t="str">
        <f>VLOOKUP(Apps[[#This Row],[CandID]],Cands[[CandID]:[Cand_Name]],2,0)</f>
        <v>Ear Nimol</v>
      </c>
      <c r="D140" s="1" t="s">
        <v>91</v>
      </c>
      <c r="E140" s="1" t="str">
        <f>_xlfn.IFNA(VLOOKUP(Apps[[#This Row],[PostID]],Posts[[PostID]:[Position]],2,0),"")</f>
        <v>Financial Controller</v>
      </c>
      <c r="F140" s="4">
        <v>45294</v>
      </c>
      <c r="G140" s="3" t="s">
        <v>2847</v>
      </c>
      <c r="M140" s="3"/>
    </row>
    <row r="141" spans="1:16" x14ac:dyDescent="0.3">
      <c r="A141" s="1" t="s">
        <v>2993</v>
      </c>
      <c r="B141" s="1" t="s">
        <v>2361</v>
      </c>
      <c r="C141" s="1" t="str">
        <f>VLOOKUP(Apps[[#This Row],[CandID]],Cands[[CandID]:[Cand_Name]],2,0)</f>
        <v>Sor Phannith</v>
      </c>
      <c r="D141" s="1" t="s">
        <v>94</v>
      </c>
      <c r="E141" s="1" t="str">
        <f>_xlfn.IFNA(VLOOKUP(Apps[[#This Row],[PostID]],Posts[[PostID]:[Position]],2,0),"")</f>
        <v>Farm Manager</v>
      </c>
      <c r="F141" s="4">
        <v>45294</v>
      </c>
      <c r="G141" s="3" t="s">
        <v>2847</v>
      </c>
      <c r="M141" s="3"/>
    </row>
    <row r="142" spans="1:16" x14ac:dyDescent="0.3">
      <c r="A142" s="1" t="s">
        <v>2994</v>
      </c>
      <c r="B142" s="1" t="s">
        <v>2362</v>
      </c>
      <c r="C142" s="1" t="str">
        <f>VLOOKUP(Apps[[#This Row],[CandID]],Cands[[CandID]:[Cand_Name]],2,0)</f>
        <v>Chanthy Sok</v>
      </c>
      <c r="D142" s="1" t="s">
        <v>92</v>
      </c>
      <c r="E142" s="1" t="str">
        <f>_xlfn.IFNA(VLOOKUP(Apps[[#This Row],[PostID]],Posts[[PostID]:[Position]],2,0),"")</f>
        <v>Finance Manager</v>
      </c>
      <c r="F142" s="4">
        <v>45294</v>
      </c>
      <c r="G142" s="3" t="s">
        <v>2847</v>
      </c>
      <c r="M142" s="3"/>
    </row>
    <row r="143" spans="1:16" x14ac:dyDescent="0.3">
      <c r="A143" s="1" t="s">
        <v>2995</v>
      </c>
      <c r="B143" s="1" t="s">
        <v>2363</v>
      </c>
      <c r="C143" s="1" t="str">
        <f>VLOOKUP(Apps[[#This Row],[CandID]],Cands[[CandID]:[Cand_Name]],2,0)</f>
        <v>Rasy Ear</v>
      </c>
      <c r="D143" s="1" t="s">
        <v>94</v>
      </c>
      <c r="E143" s="1" t="str">
        <f>_xlfn.IFNA(VLOOKUP(Apps[[#This Row],[PostID]],Posts[[PostID]:[Position]],2,0),"")</f>
        <v>Farm Manager</v>
      </c>
      <c r="F143" s="4">
        <v>45294</v>
      </c>
      <c r="G143" s="3" t="s">
        <v>2847</v>
      </c>
      <c r="M143" s="3"/>
    </row>
    <row r="144" spans="1:16" x14ac:dyDescent="0.3">
      <c r="A144" s="1" t="s">
        <v>2996</v>
      </c>
      <c r="B144" s="1" t="s">
        <v>2364</v>
      </c>
      <c r="C144" s="1" t="str">
        <f>VLOOKUP(Apps[[#This Row],[CandID]],Cands[[CandID]:[Cand_Name]],2,0)</f>
        <v>Lan Silo</v>
      </c>
      <c r="D144" s="1" t="s">
        <v>105</v>
      </c>
      <c r="E144" s="1" t="str">
        <f>_xlfn.IFNA(VLOOKUP(Apps[[#This Row],[PostID]],Posts[[PostID]:[Position]],2,0),"")</f>
        <v>Deputy IT Manager</v>
      </c>
      <c r="F144" s="4">
        <v>45294</v>
      </c>
      <c r="G144" s="3" t="s">
        <v>2847</v>
      </c>
      <c r="M144" s="3"/>
    </row>
    <row r="145" spans="1:16" x14ac:dyDescent="0.3">
      <c r="A145" s="1" t="s">
        <v>2997</v>
      </c>
      <c r="B145" s="1" t="s">
        <v>2365</v>
      </c>
      <c r="C145" s="1" t="str">
        <f>VLOOKUP(Apps[[#This Row],[CandID]],Cands[[CandID]:[Cand_Name]],2,0)</f>
        <v>Kychivoon</v>
      </c>
      <c r="D145" s="1" t="s">
        <v>94</v>
      </c>
      <c r="E145" s="1" t="str">
        <f>_xlfn.IFNA(VLOOKUP(Apps[[#This Row],[PostID]],Posts[[PostID]:[Position]],2,0),"")</f>
        <v>Farm Manager</v>
      </c>
      <c r="F145" s="4">
        <v>45294</v>
      </c>
      <c r="G145" s="3" t="s">
        <v>2847</v>
      </c>
      <c r="M145" s="3"/>
    </row>
    <row r="146" spans="1:16" x14ac:dyDescent="0.3">
      <c r="A146" s="1" t="s">
        <v>2998</v>
      </c>
      <c r="B146" s="1" t="s">
        <v>2366</v>
      </c>
      <c r="C146" s="1" t="str">
        <f>VLOOKUP(Apps[[#This Row],[CandID]],Cands[[CandID]:[Cand_Name]],2,0)</f>
        <v>Ath Piseth</v>
      </c>
      <c r="D146" s="1" t="s">
        <v>105</v>
      </c>
      <c r="E146" s="1" t="str">
        <f>_xlfn.IFNA(VLOOKUP(Apps[[#This Row],[PostID]],Posts[[PostID]:[Position]],2,0),"")</f>
        <v>Deputy IT Manager</v>
      </c>
      <c r="F146" s="4">
        <v>45294</v>
      </c>
      <c r="G146" s="3" t="s">
        <v>2847</v>
      </c>
      <c r="M146" s="3"/>
    </row>
    <row r="147" spans="1:16" x14ac:dyDescent="0.3">
      <c r="A147" s="1" t="s">
        <v>2999</v>
      </c>
      <c r="B147" s="1" t="s">
        <v>2367</v>
      </c>
      <c r="C147" s="1" t="str">
        <f>VLOOKUP(Apps[[#This Row],[CandID]],Cands[[CandID]:[Cand_Name]],2,0)</f>
        <v>Reth Meta</v>
      </c>
      <c r="D147" s="1" t="s">
        <v>100</v>
      </c>
      <c r="E147" s="1" t="str">
        <f>_xlfn.IFNA(VLOOKUP(Apps[[#This Row],[PostID]],Posts[[PostID]:[Position]],2,0),"")</f>
        <v>Sales Director</v>
      </c>
      <c r="F147" s="4">
        <v>45294</v>
      </c>
      <c r="G147" s="3" t="s">
        <v>2849</v>
      </c>
      <c r="H147" s="8" t="s">
        <v>3477</v>
      </c>
      <c r="I147" s="4">
        <v>45295</v>
      </c>
      <c r="J147" s="4">
        <v>45308</v>
      </c>
      <c r="K147" s="8" t="s">
        <v>3521</v>
      </c>
      <c r="M147" s="3"/>
      <c r="N147" s="3" t="s">
        <v>3477</v>
      </c>
    </row>
    <row r="148" spans="1:16" x14ac:dyDescent="0.3">
      <c r="A148" s="1" t="s">
        <v>3000</v>
      </c>
      <c r="B148" s="1" t="s">
        <v>2368</v>
      </c>
      <c r="C148" s="1" t="str">
        <f>VLOOKUP(Apps[[#This Row],[CandID]],Cands[[CandID]:[Cand_Name]],2,0)</f>
        <v>Richard Vinda</v>
      </c>
      <c r="D148" s="1" t="s">
        <v>90</v>
      </c>
      <c r="E148" s="1" t="str">
        <f>_xlfn.IFNA(VLOOKUP(Apps[[#This Row],[PostID]],Posts[[PostID]:[Position]],2,0),"")</f>
        <v>General Manager</v>
      </c>
      <c r="F148" s="4">
        <v>45294</v>
      </c>
      <c r="G148" s="3" t="s">
        <v>2845</v>
      </c>
      <c r="H148" s="8" t="s">
        <v>3477</v>
      </c>
      <c r="I148" s="4">
        <v>45295</v>
      </c>
      <c r="J148" s="4">
        <v>45308</v>
      </c>
      <c r="K148" s="8" t="s">
        <v>3521</v>
      </c>
      <c r="M148" s="3"/>
      <c r="N148" s="3" t="s">
        <v>3477</v>
      </c>
    </row>
    <row r="149" spans="1:16" x14ac:dyDescent="0.3">
      <c r="A149" s="1" t="s">
        <v>3001</v>
      </c>
      <c r="B149" s="1" t="s">
        <v>2369</v>
      </c>
      <c r="C149" s="1" t="str">
        <f>VLOOKUP(Apps[[#This Row],[CandID]],Cands[[CandID]:[Cand_Name]],2,0)</f>
        <v>Tep Chantreamanat</v>
      </c>
      <c r="E149" s="1" t="str">
        <f>_xlfn.IFNA(VLOOKUP(Apps[[#This Row],[PostID]],Posts[[PostID]:[Position]],2,0),"")</f>
        <v/>
      </c>
      <c r="F149" s="4">
        <v>45295</v>
      </c>
      <c r="G149" s="3" t="s">
        <v>2847</v>
      </c>
      <c r="M149" s="3"/>
    </row>
    <row r="150" spans="1:16" x14ac:dyDescent="0.3">
      <c r="A150" s="1" t="s">
        <v>3002</v>
      </c>
      <c r="B150" s="1" t="s">
        <v>2370</v>
      </c>
      <c r="C150" s="1" t="str">
        <f>VLOOKUP(Apps[[#This Row],[CandID]],Cands[[CandID]:[Cand_Name]],2,0)</f>
        <v>Sothea Phoeun</v>
      </c>
      <c r="E150" s="1" t="str">
        <f>_xlfn.IFNA(VLOOKUP(Apps[[#This Row],[PostID]],Posts[[PostID]:[Position]],2,0),"")</f>
        <v/>
      </c>
      <c r="F150" s="4">
        <v>45295</v>
      </c>
      <c r="G150" s="3" t="s">
        <v>2847</v>
      </c>
      <c r="M150" s="3"/>
    </row>
    <row r="151" spans="1:16" x14ac:dyDescent="0.3">
      <c r="A151" s="1" t="s">
        <v>3003</v>
      </c>
      <c r="B151" s="1" t="s">
        <v>2371</v>
      </c>
      <c r="C151" s="1" t="str">
        <f>VLOOKUP(Apps[[#This Row],[CandID]],Cands[[CandID]:[Cand_Name]],2,0)</f>
        <v>Mut Bondith</v>
      </c>
      <c r="D151" s="1" t="s">
        <v>105</v>
      </c>
      <c r="E151" s="1" t="str">
        <f>_xlfn.IFNA(VLOOKUP(Apps[[#This Row],[PostID]],Posts[[PostID]:[Position]],2,0),"")</f>
        <v>Deputy IT Manager</v>
      </c>
      <c r="F151" s="4">
        <v>45295</v>
      </c>
      <c r="G151" s="3" t="s">
        <v>2847</v>
      </c>
      <c r="M151" s="3"/>
    </row>
    <row r="152" spans="1:16" x14ac:dyDescent="0.3">
      <c r="A152" s="1" t="s">
        <v>3004</v>
      </c>
      <c r="B152" s="1" t="s">
        <v>2372</v>
      </c>
      <c r="C152" s="1" t="str">
        <f>VLOOKUP(Apps[[#This Row],[CandID]],Cands[[CandID]:[Cand_Name]],2,0)</f>
        <v>Ley Vireak</v>
      </c>
      <c r="D152" s="1" t="s">
        <v>100</v>
      </c>
      <c r="E152" s="1" t="str">
        <f>_xlfn.IFNA(VLOOKUP(Apps[[#This Row],[PostID]],Posts[[PostID]:[Position]],2,0),"")</f>
        <v>Sales Director</v>
      </c>
      <c r="F152" s="4">
        <v>45295</v>
      </c>
      <c r="G152" s="3" t="s">
        <v>2847</v>
      </c>
      <c r="M152" s="3"/>
    </row>
    <row r="153" spans="1:16" x14ac:dyDescent="0.3">
      <c r="A153" s="1" t="s">
        <v>3005</v>
      </c>
      <c r="B153" s="1" t="s">
        <v>2373</v>
      </c>
      <c r="C153" s="1" t="str">
        <f>VLOOKUP(Apps[[#This Row],[CandID]],Cands[[CandID]:[Cand_Name]],2,0)</f>
        <v>Keo Channita</v>
      </c>
      <c r="E153" s="1" t="str">
        <f>_xlfn.IFNA(VLOOKUP(Apps[[#This Row],[PostID]],Posts[[PostID]:[Position]],2,0),"")</f>
        <v/>
      </c>
      <c r="F153" s="4">
        <v>45296</v>
      </c>
      <c r="G153" s="3" t="s">
        <v>2848</v>
      </c>
      <c r="H153" s="8" t="s">
        <v>3477</v>
      </c>
      <c r="I153" s="4">
        <v>45308</v>
      </c>
      <c r="M153" s="3"/>
      <c r="P153" s="5">
        <v>2000</v>
      </c>
    </row>
    <row r="154" spans="1:16" x14ac:dyDescent="0.3">
      <c r="A154" s="1" t="s">
        <v>3006</v>
      </c>
      <c r="B154" s="1" t="s">
        <v>2374</v>
      </c>
      <c r="C154" s="1" t="str">
        <f>VLOOKUP(Apps[[#This Row],[CandID]],Cands[[CandID]:[Cand_Name]],2,0)</f>
        <v>Hor Pichit</v>
      </c>
      <c r="D154" s="1" t="s">
        <v>91</v>
      </c>
      <c r="E154" s="1" t="str">
        <f>_xlfn.IFNA(VLOOKUP(Apps[[#This Row],[PostID]],Posts[[PostID]:[Position]],2,0),"")</f>
        <v>Financial Controller</v>
      </c>
      <c r="F154" s="4">
        <v>45296</v>
      </c>
      <c r="G154" s="3" t="s">
        <v>2847</v>
      </c>
      <c r="H154" s="8" t="s">
        <v>3477</v>
      </c>
      <c r="I154" s="4">
        <v>45306</v>
      </c>
      <c r="J154" s="4">
        <v>45358</v>
      </c>
      <c r="K154" s="8" t="s">
        <v>3521</v>
      </c>
      <c r="M154" s="3"/>
      <c r="N154" s="3" t="s">
        <v>3477</v>
      </c>
      <c r="O154" s="5">
        <v>3300</v>
      </c>
      <c r="P154" s="5">
        <v>3500</v>
      </c>
    </row>
    <row r="155" spans="1:16" x14ac:dyDescent="0.3">
      <c r="A155" s="1" t="s">
        <v>3007</v>
      </c>
      <c r="B155" s="1" t="s">
        <v>2375</v>
      </c>
      <c r="C155" s="1" t="str">
        <f>VLOOKUP(Apps[[#This Row],[CandID]],Cands[[CandID]:[Cand_Name]],2,0)</f>
        <v>Rith Panha</v>
      </c>
      <c r="E155" s="1" t="str">
        <f>_xlfn.IFNA(VLOOKUP(Apps[[#This Row],[PostID]],Posts[[PostID]:[Position]],2,0),"")</f>
        <v/>
      </c>
      <c r="F155" s="4">
        <v>45296</v>
      </c>
      <c r="G155" s="3" t="s">
        <v>2847</v>
      </c>
      <c r="M155" s="3"/>
    </row>
    <row r="156" spans="1:16" x14ac:dyDescent="0.3">
      <c r="A156" s="1" t="s">
        <v>3008</v>
      </c>
      <c r="B156" s="1" t="s">
        <v>2376</v>
      </c>
      <c r="C156" s="1" t="str">
        <f>VLOOKUP(Apps[[#This Row],[CandID]],Cands[[CandID]:[Cand_Name]],2,0)</f>
        <v>Ly Rozan</v>
      </c>
      <c r="D156" s="1" t="s">
        <v>119</v>
      </c>
      <c r="E156" s="1" t="str">
        <f>_xlfn.IFNA(VLOOKUP(Apps[[#This Row],[PostID]],Posts[[PostID]:[Position]],2,0),"")</f>
        <v>HRBP</v>
      </c>
      <c r="F156" s="4">
        <v>45296</v>
      </c>
      <c r="G156" s="3" t="s">
        <v>2847</v>
      </c>
      <c r="M156" s="3"/>
    </row>
    <row r="157" spans="1:16" x14ac:dyDescent="0.3">
      <c r="A157" s="1" t="s">
        <v>3009</v>
      </c>
      <c r="B157" s="1" t="s">
        <v>2377</v>
      </c>
      <c r="C157" s="1" t="str">
        <f>VLOOKUP(Apps[[#This Row],[CandID]],Cands[[CandID]:[Cand_Name]],2,0)</f>
        <v>Ly Tong Pheng</v>
      </c>
      <c r="D157" s="1" t="s">
        <v>126</v>
      </c>
      <c r="E157" s="1" t="str">
        <f>_xlfn.IFNA(VLOOKUP(Apps[[#This Row],[PostID]],Posts[[PostID]:[Position]],2,0),"")</f>
        <v>Architect</v>
      </c>
      <c r="F157" s="4">
        <v>45296</v>
      </c>
      <c r="G157" s="3" t="s">
        <v>2847</v>
      </c>
      <c r="M157" s="3"/>
    </row>
    <row r="158" spans="1:16" x14ac:dyDescent="0.3">
      <c r="A158" s="1" t="s">
        <v>3010</v>
      </c>
      <c r="B158" s="1" t="s">
        <v>2378</v>
      </c>
      <c r="C158" s="1" t="str">
        <f>VLOOKUP(Apps[[#This Row],[CandID]],Cands[[CandID]:[Cand_Name]],2,0)</f>
        <v>Hong Sovanratanak</v>
      </c>
      <c r="E158" s="1" t="str">
        <f>_xlfn.IFNA(VLOOKUP(Apps[[#This Row],[PostID]],Posts[[PostID]:[Position]],2,0),"")</f>
        <v/>
      </c>
      <c r="F158" s="4">
        <v>45296</v>
      </c>
      <c r="G158" s="3" t="s">
        <v>2847</v>
      </c>
      <c r="M158" s="3"/>
    </row>
    <row r="159" spans="1:16" x14ac:dyDescent="0.3">
      <c r="A159" s="1" t="s">
        <v>3011</v>
      </c>
      <c r="B159" s="1" t="s">
        <v>2379</v>
      </c>
      <c r="C159" s="1" t="str">
        <f>VLOOKUP(Apps[[#This Row],[CandID]],Cands[[CandID]:[Cand_Name]],2,0)</f>
        <v>Sieng Vireak</v>
      </c>
      <c r="D159" s="1" t="s">
        <v>99</v>
      </c>
      <c r="E159" s="1" t="str">
        <f>_xlfn.IFNA(VLOOKUP(Apps[[#This Row],[PostID]],Posts[[PostID]:[Position]],2,0),"")</f>
        <v>Deputy Marketing Manager (event)</v>
      </c>
      <c r="F159" s="4">
        <v>45296</v>
      </c>
      <c r="G159" s="3" t="s">
        <v>2847</v>
      </c>
      <c r="H159" s="8" t="s">
        <v>3477</v>
      </c>
      <c r="I159" s="4">
        <v>45406</v>
      </c>
      <c r="M159" s="3"/>
    </row>
    <row r="160" spans="1:16" x14ac:dyDescent="0.3">
      <c r="A160" s="1" t="s">
        <v>3012</v>
      </c>
      <c r="B160" s="1" t="s">
        <v>2380</v>
      </c>
      <c r="C160" s="1" t="str">
        <f>VLOOKUP(Apps[[#This Row],[CandID]],Cands[[CandID]:[Cand_Name]],2,0)</f>
        <v>Kong Khan</v>
      </c>
      <c r="E160" s="1" t="str">
        <f>_xlfn.IFNA(VLOOKUP(Apps[[#This Row],[PostID]],Posts[[PostID]:[Position]],2,0),"")</f>
        <v/>
      </c>
      <c r="F160" s="4">
        <v>45296</v>
      </c>
      <c r="G160" s="3" t="s">
        <v>2847</v>
      </c>
      <c r="M160" s="3"/>
    </row>
    <row r="161" spans="1:16" x14ac:dyDescent="0.3">
      <c r="A161" s="1" t="s">
        <v>3013</v>
      </c>
      <c r="B161" s="1" t="s">
        <v>2381</v>
      </c>
      <c r="C161" s="1" t="str">
        <f>VLOOKUP(Apps[[#This Row],[CandID]],Cands[[CandID]:[Cand_Name]],2,0)</f>
        <v>Chheng Yfang</v>
      </c>
      <c r="E161" s="1" t="str">
        <f>_xlfn.IFNA(VLOOKUP(Apps[[#This Row],[PostID]],Posts[[PostID]:[Position]],2,0),"")</f>
        <v/>
      </c>
      <c r="F161" s="4">
        <v>45296</v>
      </c>
      <c r="G161" s="3" t="s">
        <v>2847</v>
      </c>
      <c r="M161" s="3"/>
    </row>
    <row r="162" spans="1:16" x14ac:dyDescent="0.3">
      <c r="A162" s="1" t="s">
        <v>3014</v>
      </c>
      <c r="B162" s="1" t="s">
        <v>2382</v>
      </c>
      <c r="C162" s="1" t="str">
        <f>VLOOKUP(Apps[[#This Row],[CandID]],Cands[[CandID]:[Cand_Name]],2,0)</f>
        <v>Kheav Sokthe</v>
      </c>
      <c r="E162" s="1" t="str">
        <f>_xlfn.IFNA(VLOOKUP(Apps[[#This Row],[PostID]],Posts[[PostID]:[Position]],2,0),"")</f>
        <v/>
      </c>
      <c r="F162" s="4">
        <v>45296</v>
      </c>
      <c r="G162" s="3" t="s">
        <v>2847</v>
      </c>
      <c r="M162" s="3"/>
    </row>
    <row r="163" spans="1:16" x14ac:dyDescent="0.3">
      <c r="A163" s="1" t="s">
        <v>3015</v>
      </c>
      <c r="B163" s="1" t="s">
        <v>2383</v>
      </c>
      <c r="C163" s="1" t="str">
        <f>VLOOKUP(Apps[[#This Row],[CandID]],Cands[[CandID]:[Cand_Name]],2,0)</f>
        <v>Hun Sereyvichera</v>
      </c>
      <c r="D163" s="1" t="s">
        <v>91</v>
      </c>
      <c r="E163" s="1" t="str">
        <f>_xlfn.IFNA(VLOOKUP(Apps[[#This Row],[PostID]],Posts[[PostID]:[Position]],2,0),"")</f>
        <v>Financial Controller</v>
      </c>
      <c r="F163" s="4">
        <v>45296</v>
      </c>
      <c r="G163" s="3" t="s">
        <v>2847</v>
      </c>
      <c r="M163" s="3"/>
    </row>
    <row r="164" spans="1:16" x14ac:dyDescent="0.3">
      <c r="A164" s="1" t="s">
        <v>3016</v>
      </c>
      <c r="B164" s="1" t="s">
        <v>2384</v>
      </c>
      <c r="C164" s="1" t="str">
        <f>VLOOKUP(Apps[[#This Row],[CandID]],Cands[[CandID]:[Cand_Name]],2,0)</f>
        <v>Huong Yekseang</v>
      </c>
      <c r="D164" s="1" t="s">
        <v>100</v>
      </c>
      <c r="E164" s="1" t="str">
        <f>_xlfn.IFNA(VLOOKUP(Apps[[#This Row],[PostID]],Posts[[PostID]:[Position]],2,0),"")</f>
        <v>Sales Director</v>
      </c>
      <c r="F164" s="4">
        <v>45298</v>
      </c>
      <c r="G164" s="3" t="s">
        <v>2848</v>
      </c>
      <c r="H164" s="8" t="s">
        <v>3477</v>
      </c>
      <c r="I164" s="4">
        <v>45310</v>
      </c>
      <c r="M164" s="3"/>
      <c r="O164" s="5">
        <v>230</v>
      </c>
      <c r="P164" s="5">
        <v>300</v>
      </c>
    </row>
    <row r="165" spans="1:16" x14ac:dyDescent="0.3">
      <c r="A165" s="1" t="s">
        <v>3017</v>
      </c>
      <c r="B165" s="1" t="s">
        <v>2385</v>
      </c>
      <c r="C165" s="1" t="str">
        <f>VLOOKUP(Apps[[#This Row],[CandID]],Cands[[CandID]:[Cand_Name]],2,0)</f>
        <v>Soeur Piseth</v>
      </c>
      <c r="D165" s="1" t="s">
        <v>94</v>
      </c>
      <c r="E165" s="1" t="str">
        <f>_xlfn.IFNA(VLOOKUP(Apps[[#This Row],[PostID]],Posts[[PostID]:[Position]],2,0),"")</f>
        <v>Farm Manager</v>
      </c>
      <c r="F165" s="4">
        <v>45298</v>
      </c>
      <c r="G165" s="3" t="s">
        <v>2847</v>
      </c>
      <c r="M165" s="3"/>
    </row>
    <row r="166" spans="1:16" x14ac:dyDescent="0.3">
      <c r="A166" s="1" t="s">
        <v>3018</v>
      </c>
      <c r="B166" s="1" t="s">
        <v>2386</v>
      </c>
      <c r="C166" s="1" t="str">
        <f>VLOOKUP(Apps[[#This Row],[CandID]],Cands[[CandID]:[Cand_Name]],2,0)</f>
        <v>Tang Pech</v>
      </c>
      <c r="E166" s="1" t="str">
        <f>_xlfn.IFNA(VLOOKUP(Apps[[#This Row],[PostID]],Posts[[PostID]:[Position]],2,0),"")</f>
        <v/>
      </c>
      <c r="F166" s="4">
        <v>45298</v>
      </c>
      <c r="G166" s="3" t="s">
        <v>2847</v>
      </c>
      <c r="M166" s="3"/>
    </row>
    <row r="167" spans="1:16" x14ac:dyDescent="0.3">
      <c r="A167" s="1" t="s">
        <v>3019</v>
      </c>
      <c r="B167" s="1" t="s">
        <v>2387</v>
      </c>
      <c r="C167" s="1" t="str">
        <f>VLOOKUP(Apps[[#This Row],[CandID]],Cands[[CandID]:[Cand_Name]],2,0)</f>
        <v>Horng Chamroeun</v>
      </c>
      <c r="D167" s="1" t="s">
        <v>91</v>
      </c>
      <c r="E167" s="1" t="str">
        <f>_xlfn.IFNA(VLOOKUP(Apps[[#This Row],[PostID]],Posts[[PostID]:[Position]],2,0),"")</f>
        <v>Financial Controller</v>
      </c>
      <c r="F167" s="4">
        <v>45299</v>
      </c>
      <c r="G167" s="3" t="s">
        <v>2847</v>
      </c>
      <c r="H167" s="8" t="s">
        <v>3477</v>
      </c>
      <c r="I167" s="4">
        <v>45306</v>
      </c>
      <c r="J167" s="4">
        <v>45313</v>
      </c>
      <c r="M167" s="3"/>
      <c r="O167" s="5">
        <v>2500</v>
      </c>
      <c r="P167" s="5">
        <v>3200</v>
      </c>
    </row>
    <row r="168" spans="1:16" x14ac:dyDescent="0.3">
      <c r="A168" s="1" t="s">
        <v>3020</v>
      </c>
      <c r="B168" s="1" t="s">
        <v>2388</v>
      </c>
      <c r="C168" s="1" t="str">
        <f>VLOOKUP(Apps[[#This Row],[CandID]],Cands[[CandID]:[Cand_Name]],2,0)</f>
        <v>Kong Sotha</v>
      </c>
      <c r="E168" s="1" t="str">
        <f>_xlfn.IFNA(VLOOKUP(Apps[[#This Row],[PostID]],Posts[[PostID]:[Position]],2,0),"")</f>
        <v/>
      </c>
      <c r="F168" s="4">
        <v>45299</v>
      </c>
      <c r="G168" s="3" t="s">
        <v>2847</v>
      </c>
      <c r="H168" s="8" t="s">
        <v>3475</v>
      </c>
      <c r="K168" s="8" t="s">
        <v>3521</v>
      </c>
      <c r="M168" s="3"/>
    </row>
    <row r="169" spans="1:16" x14ac:dyDescent="0.3">
      <c r="A169" s="1" t="s">
        <v>3021</v>
      </c>
      <c r="B169" s="1" t="s">
        <v>2389</v>
      </c>
      <c r="C169" s="1" t="str">
        <f>VLOOKUP(Apps[[#This Row],[CandID]],Cands[[CandID]:[Cand_Name]],2,0)</f>
        <v>Net Khem Nong</v>
      </c>
      <c r="D169" s="1" t="s">
        <v>94</v>
      </c>
      <c r="E169" s="1" t="str">
        <f>_xlfn.IFNA(VLOOKUP(Apps[[#This Row],[PostID]],Posts[[PostID]:[Position]],2,0),"")</f>
        <v>Farm Manager</v>
      </c>
      <c r="F169" s="4">
        <v>45299</v>
      </c>
      <c r="G169" s="3" t="s">
        <v>2847</v>
      </c>
      <c r="M169" s="3"/>
    </row>
    <row r="170" spans="1:16" x14ac:dyDescent="0.3">
      <c r="A170" s="1" t="s">
        <v>3022</v>
      </c>
      <c r="B170" s="1" t="s">
        <v>2390</v>
      </c>
      <c r="C170" s="1" t="str">
        <f>VLOOKUP(Apps[[#This Row],[CandID]],Cands[[CandID]:[Cand_Name]],2,0)</f>
        <v>Chhour Dany</v>
      </c>
      <c r="D170" s="1" t="s">
        <v>91</v>
      </c>
      <c r="E170" s="1" t="str">
        <f>_xlfn.IFNA(VLOOKUP(Apps[[#This Row],[PostID]],Posts[[PostID]:[Position]],2,0),"")</f>
        <v>Financial Controller</v>
      </c>
      <c r="F170" s="4">
        <v>45299</v>
      </c>
      <c r="G170" s="3" t="s">
        <v>2847</v>
      </c>
      <c r="M170" s="3"/>
    </row>
    <row r="171" spans="1:16" x14ac:dyDescent="0.3">
      <c r="A171" s="1" t="s">
        <v>3023</v>
      </c>
      <c r="B171" s="1" t="s">
        <v>2391</v>
      </c>
      <c r="C171" s="1" t="str">
        <f>VLOOKUP(Apps[[#This Row],[CandID]],Cands[[CandID]:[Cand_Name]],2,0)</f>
        <v>Bunthong Touch</v>
      </c>
      <c r="D171" s="1" t="s">
        <v>94</v>
      </c>
      <c r="E171" s="1" t="str">
        <f>_xlfn.IFNA(VLOOKUP(Apps[[#This Row],[PostID]],Posts[[PostID]:[Position]],2,0),"")</f>
        <v>Farm Manager</v>
      </c>
      <c r="F171" s="4">
        <v>45299</v>
      </c>
      <c r="G171" s="3" t="s">
        <v>2847</v>
      </c>
      <c r="M171" s="3"/>
    </row>
    <row r="172" spans="1:16" x14ac:dyDescent="0.3">
      <c r="A172" s="1" t="s">
        <v>3024</v>
      </c>
      <c r="B172" s="1" t="s">
        <v>2392</v>
      </c>
      <c r="C172" s="1" t="str">
        <f>VLOOKUP(Apps[[#This Row],[CandID]],Cands[[CandID]:[Cand_Name]],2,0)</f>
        <v>Leng Sunpisey</v>
      </c>
      <c r="D172" s="1" t="s">
        <v>94</v>
      </c>
      <c r="E172" s="1" t="str">
        <f>_xlfn.IFNA(VLOOKUP(Apps[[#This Row],[PostID]],Posts[[PostID]:[Position]],2,0),"")</f>
        <v>Farm Manager</v>
      </c>
      <c r="F172" s="4">
        <v>45300</v>
      </c>
      <c r="G172" s="3" t="s">
        <v>2847</v>
      </c>
      <c r="M172" s="3"/>
    </row>
    <row r="173" spans="1:16" x14ac:dyDescent="0.3">
      <c r="A173" s="1" t="s">
        <v>3025</v>
      </c>
      <c r="B173" s="1" t="s">
        <v>2393</v>
      </c>
      <c r="C173" s="1" t="str">
        <f>VLOOKUP(Apps[[#This Row],[CandID]],Cands[[CandID]:[Cand_Name]],2,0)</f>
        <v>Ry Lyuoy</v>
      </c>
      <c r="D173" s="1" t="s">
        <v>94</v>
      </c>
      <c r="E173" s="1" t="str">
        <f>_xlfn.IFNA(VLOOKUP(Apps[[#This Row],[PostID]],Posts[[PostID]:[Position]],2,0),"")</f>
        <v>Farm Manager</v>
      </c>
      <c r="F173" s="4">
        <v>45300</v>
      </c>
      <c r="G173" s="3" t="s">
        <v>2847</v>
      </c>
      <c r="M173" s="3"/>
    </row>
    <row r="174" spans="1:16" x14ac:dyDescent="0.3">
      <c r="A174" s="1" t="s">
        <v>3026</v>
      </c>
      <c r="B174" s="1" t="s">
        <v>2394</v>
      </c>
      <c r="C174" s="1" t="str">
        <f>VLOOKUP(Apps[[#This Row],[CandID]],Cands[[CandID]:[Cand_Name]],2,0)</f>
        <v>Vanndareth Leng</v>
      </c>
      <c r="D174" s="1" t="s">
        <v>126</v>
      </c>
      <c r="E174" s="1" t="str">
        <f>_xlfn.IFNA(VLOOKUP(Apps[[#This Row],[PostID]],Posts[[PostID]:[Position]],2,0),"")</f>
        <v>Architect</v>
      </c>
      <c r="F174" s="4">
        <v>45300</v>
      </c>
      <c r="G174" s="3" t="s">
        <v>2847</v>
      </c>
      <c r="M174" s="3"/>
    </row>
    <row r="175" spans="1:16" x14ac:dyDescent="0.3">
      <c r="A175" s="1" t="s">
        <v>3027</v>
      </c>
      <c r="B175" s="1" t="s">
        <v>2395</v>
      </c>
      <c r="C175" s="1" t="str">
        <f>VLOOKUP(Apps[[#This Row],[CandID]],Cands[[CandID]:[Cand_Name]],2,0)</f>
        <v>Channa Chhum</v>
      </c>
      <c r="D175" s="1" t="s">
        <v>119</v>
      </c>
      <c r="E175" s="1" t="str">
        <f>_xlfn.IFNA(VLOOKUP(Apps[[#This Row],[PostID]],Posts[[PostID]:[Position]],2,0),"")</f>
        <v>HRBP</v>
      </c>
      <c r="F175" s="4">
        <v>45300</v>
      </c>
      <c r="G175" s="3" t="s">
        <v>2847</v>
      </c>
      <c r="M175" s="3"/>
    </row>
    <row r="176" spans="1:16" x14ac:dyDescent="0.3">
      <c r="A176" s="1" t="s">
        <v>3028</v>
      </c>
      <c r="B176" s="1" t="s">
        <v>2396</v>
      </c>
      <c r="C176" s="1" t="str">
        <f>VLOOKUP(Apps[[#This Row],[CandID]],Cands[[CandID]:[Cand_Name]],2,0)</f>
        <v>Chea Tola</v>
      </c>
      <c r="D176" s="1" t="s">
        <v>94</v>
      </c>
      <c r="E176" s="1" t="str">
        <f>_xlfn.IFNA(VLOOKUP(Apps[[#This Row],[PostID]],Posts[[PostID]:[Position]],2,0),"")</f>
        <v>Farm Manager</v>
      </c>
      <c r="F176" s="4">
        <v>45301</v>
      </c>
      <c r="G176" s="3" t="s">
        <v>2847</v>
      </c>
      <c r="M176" s="3"/>
    </row>
    <row r="177" spans="1:16" x14ac:dyDescent="0.3">
      <c r="A177" s="1" t="s">
        <v>3029</v>
      </c>
      <c r="B177" s="1" t="s">
        <v>2397</v>
      </c>
      <c r="C177" s="1" t="str">
        <f>VLOOKUP(Apps[[#This Row],[CandID]],Cands[[CandID]:[Cand_Name]],2,0)</f>
        <v>Sok Khav</v>
      </c>
      <c r="D177" s="1" t="s">
        <v>94</v>
      </c>
      <c r="E177" s="1" t="str">
        <f>_xlfn.IFNA(VLOOKUP(Apps[[#This Row],[PostID]],Posts[[PostID]:[Position]],2,0),"")</f>
        <v>Farm Manager</v>
      </c>
      <c r="F177" s="4">
        <v>45301</v>
      </c>
      <c r="G177" s="3" t="s">
        <v>2847</v>
      </c>
      <c r="M177" s="3"/>
    </row>
    <row r="178" spans="1:16" x14ac:dyDescent="0.3">
      <c r="A178" s="1" t="s">
        <v>3030</v>
      </c>
      <c r="B178" s="1" t="s">
        <v>2398</v>
      </c>
      <c r="C178" s="1" t="str">
        <f>VLOOKUP(Apps[[#This Row],[CandID]],Cands[[CandID]:[Cand_Name]],2,0)</f>
        <v>Tiev Sok Leng</v>
      </c>
      <c r="D178" s="1" t="s">
        <v>94</v>
      </c>
      <c r="E178" s="1" t="str">
        <f>_xlfn.IFNA(VLOOKUP(Apps[[#This Row],[PostID]],Posts[[PostID]:[Position]],2,0),"")</f>
        <v>Farm Manager</v>
      </c>
      <c r="F178" s="4">
        <v>45301</v>
      </c>
      <c r="G178" s="3" t="s">
        <v>2847</v>
      </c>
      <c r="M178" s="3"/>
    </row>
    <row r="179" spans="1:16" x14ac:dyDescent="0.3">
      <c r="A179" s="1" t="s">
        <v>3031</v>
      </c>
      <c r="B179" s="1" t="s">
        <v>2399</v>
      </c>
      <c r="C179" s="1" t="str">
        <f>VLOOKUP(Apps[[#This Row],[CandID]],Cands[[CandID]:[Cand_Name]],2,0)</f>
        <v>Inn Pisa</v>
      </c>
      <c r="D179" s="1" t="s">
        <v>94</v>
      </c>
      <c r="E179" s="1" t="str">
        <f>_xlfn.IFNA(VLOOKUP(Apps[[#This Row],[PostID]],Posts[[PostID]:[Position]],2,0),"")</f>
        <v>Farm Manager</v>
      </c>
      <c r="F179" s="4">
        <v>45301</v>
      </c>
      <c r="G179" s="3" t="s">
        <v>2847</v>
      </c>
      <c r="M179" s="3"/>
    </row>
    <row r="180" spans="1:16" x14ac:dyDescent="0.3">
      <c r="A180" s="1" t="s">
        <v>3032</v>
      </c>
      <c r="B180" s="1" t="s">
        <v>2400</v>
      </c>
      <c r="C180" s="1" t="str">
        <f>VLOOKUP(Apps[[#This Row],[CandID]],Cands[[CandID]:[Cand_Name]],2,0)</f>
        <v>Chhiv Sochea</v>
      </c>
      <c r="D180" s="1" t="s">
        <v>90</v>
      </c>
      <c r="E180" s="1" t="str">
        <f>_xlfn.IFNA(VLOOKUP(Apps[[#This Row],[PostID]],Posts[[PostID]:[Position]],2,0),"")</f>
        <v>General Manager</v>
      </c>
      <c r="F180" s="4">
        <v>45301</v>
      </c>
      <c r="G180" s="3" t="s">
        <v>2847</v>
      </c>
      <c r="M180" s="3"/>
    </row>
    <row r="181" spans="1:16" x14ac:dyDescent="0.3">
      <c r="A181" s="1" t="s">
        <v>3033</v>
      </c>
      <c r="B181" s="1" t="s">
        <v>2401</v>
      </c>
      <c r="C181" s="1" t="str">
        <f>VLOOKUP(Apps[[#This Row],[CandID]],Cands[[CandID]:[Cand_Name]],2,0)</f>
        <v>Ieng Sokleang</v>
      </c>
      <c r="E181" s="1" t="str">
        <f>_xlfn.IFNA(VLOOKUP(Apps[[#This Row],[PostID]],Posts[[PostID]:[Position]],2,0),"")</f>
        <v/>
      </c>
      <c r="F181" s="4">
        <v>45302</v>
      </c>
      <c r="G181" s="3" t="s">
        <v>2847</v>
      </c>
      <c r="M181" s="3"/>
    </row>
    <row r="182" spans="1:16" x14ac:dyDescent="0.3">
      <c r="A182" s="1" t="s">
        <v>3034</v>
      </c>
      <c r="B182" s="1" t="s">
        <v>2402</v>
      </c>
      <c r="C182" s="1" t="str">
        <f>VLOOKUP(Apps[[#This Row],[CandID]],Cands[[CandID]:[Cand_Name]],2,0)</f>
        <v>Chanlyta Choun</v>
      </c>
      <c r="D182" s="1" t="s">
        <v>91</v>
      </c>
      <c r="E182" s="1" t="str">
        <f>_xlfn.IFNA(VLOOKUP(Apps[[#This Row],[PostID]],Posts[[PostID]:[Position]],2,0),"")</f>
        <v>Financial Controller</v>
      </c>
      <c r="F182" s="4">
        <v>45302</v>
      </c>
      <c r="G182" s="3" t="s">
        <v>2847</v>
      </c>
      <c r="M182" s="3"/>
    </row>
    <row r="183" spans="1:16" x14ac:dyDescent="0.3">
      <c r="A183" s="1" t="s">
        <v>3035</v>
      </c>
      <c r="B183" s="1" t="s">
        <v>2403</v>
      </c>
      <c r="C183" s="1" t="str">
        <f>VLOOKUP(Apps[[#This Row],[CandID]],Cands[[CandID]:[Cand_Name]],2,0)</f>
        <v>Pov Bunnat</v>
      </c>
      <c r="E183" s="1" t="str">
        <f>_xlfn.IFNA(VLOOKUP(Apps[[#This Row],[PostID]],Posts[[PostID]:[Position]],2,0),"")</f>
        <v/>
      </c>
      <c r="F183" s="4">
        <v>45302</v>
      </c>
      <c r="G183" s="3" t="s">
        <v>2847</v>
      </c>
      <c r="M183" s="3"/>
    </row>
    <row r="184" spans="1:16" x14ac:dyDescent="0.3">
      <c r="A184" s="1" t="s">
        <v>3036</v>
      </c>
      <c r="B184" s="1" t="s">
        <v>2404</v>
      </c>
      <c r="C184" s="1" t="str">
        <f>VLOOKUP(Apps[[#This Row],[CandID]],Cands[[CandID]:[Cand_Name]],2,0)</f>
        <v>Soth Sreyroth</v>
      </c>
      <c r="D184" s="1" t="s">
        <v>94</v>
      </c>
      <c r="E184" s="1" t="str">
        <f>_xlfn.IFNA(VLOOKUP(Apps[[#This Row],[PostID]],Posts[[PostID]:[Position]],2,0),"")</f>
        <v>Farm Manager</v>
      </c>
      <c r="F184" s="4">
        <v>45302</v>
      </c>
      <c r="G184" s="3" t="s">
        <v>2847</v>
      </c>
      <c r="M184" s="3"/>
    </row>
    <row r="185" spans="1:16" x14ac:dyDescent="0.3">
      <c r="A185" s="1" t="s">
        <v>3037</v>
      </c>
      <c r="B185" s="1" t="s">
        <v>2405</v>
      </c>
      <c r="C185" s="1" t="str">
        <f>VLOOKUP(Apps[[#This Row],[CandID]],Cands[[CandID]:[Cand_Name]],2,0)</f>
        <v>Chan Pichet</v>
      </c>
      <c r="D185" s="1" t="s">
        <v>90</v>
      </c>
      <c r="E185" s="1" t="str">
        <f>_xlfn.IFNA(VLOOKUP(Apps[[#This Row],[PostID]],Posts[[PostID]:[Position]],2,0),"")</f>
        <v>General Manager</v>
      </c>
      <c r="F185" s="4">
        <v>45303</v>
      </c>
      <c r="G185" s="3" t="s">
        <v>2847</v>
      </c>
      <c r="H185" s="8" t="s">
        <v>3477</v>
      </c>
      <c r="I185" s="4">
        <v>45322</v>
      </c>
      <c r="K185" s="8" t="s">
        <v>3521</v>
      </c>
      <c r="M185" s="3"/>
      <c r="N185" s="3" t="s">
        <v>3477</v>
      </c>
      <c r="O185" s="5">
        <v>4000</v>
      </c>
      <c r="P185" s="5">
        <v>4000</v>
      </c>
    </row>
    <row r="186" spans="1:16" x14ac:dyDescent="0.3">
      <c r="A186" s="1" t="s">
        <v>3038</v>
      </c>
      <c r="B186" s="1" t="s">
        <v>2406</v>
      </c>
      <c r="C186" s="1" t="str">
        <f>VLOOKUP(Apps[[#This Row],[CandID]],Cands[[CandID]:[Cand_Name]],2,0)</f>
        <v>Am Channi</v>
      </c>
      <c r="D186" s="1" t="s">
        <v>86</v>
      </c>
      <c r="E186" s="1" t="str">
        <f>_xlfn.IFNA(VLOOKUP(Apps[[#This Row],[PostID]],Posts[[PostID]:[Position]],2,0),"")</f>
        <v>Factory Supervisor</v>
      </c>
      <c r="F186" s="4">
        <v>45303</v>
      </c>
      <c r="G186" s="3" t="s">
        <v>2847</v>
      </c>
      <c r="M186" s="3"/>
    </row>
    <row r="187" spans="1:16" x14ac:dyDescent="0.3">
      <c r="A187" s="1" t="s">
        <v>3039</v>
      </c>
      <c r="B187" s="1" t="s">
        <v>2407</v>
      </c>
      <c r="C187" s="1" t="str">
        <f>VLOOKUP(Apps[[#This Row],[CandID]],Cands[[CandID]:[Cand_Name]],2,0)</f>
        <v>Phoun Van Deth</v>
      </c>
      <c r="D187" s="1" t="s">
        <v>90</v>
      </c>
      <c r="E187" s="1" t="str">
        <f>_xlfn.IFNA(VLOOKUP(Apps[[#This Row],[PostID]],Posts[[PostID]:[Position]],2,0),"")</f>
        <v>General Manager</v>
      </c>
      <c r="F187" s="4">
        <v>45303</v>
      </c>
      <c r="G187" s="3" t="s">
        <v>2847</v>
      </c>
      <c r="M187" s="3"/>
    </row>
    <row r="188" spans="1:16" x14ac:dyDescent="0.3">
      <c r="A188" s="1" t="s">
        <v>3040</v>
      </c>
      <c r="B188" s="1" t="s">
        <v>2408</v>
      </c>
      <c r="C188" s="1" t="str">
        <f>VLOOKUP(Apps[[#This Row],[CandID]],Cands[[CandID]:[Cand_Name]],2,0)</f>
        <v>Channy Morn</v>
      </c>
      <c r="D188" s="1" t="s">
        <v>94</v>
      </c>
      <c r="E188" s="1" t="str">
        <f>_xlfn.IFNA(VLOOKUP(Apps[[#This Row],[PostID]],Posts[[PostID]:[Position]],2,0),"")</f>
        <v>Farm Manager</v>
      </c>
      <c r="F188" s="4">
        <v>45303</v>
      </c>
      <c r="G188" s="3" t="s">
        <v>2847</v>
      </c>
      <c r="M188" s="3"/>
    </row>
    <row r="189" spans="1:16" x14ac:dyDescent="0.3">
      <c r="A189" s="1" t="s">
        <v>3041</v>
      </c>
      <c r="B189" s="1" t="s">
        <v>2409</v>
      </c>
      <c r="C189" s="1" t="str">
        <f>VLOOKUP(Apps[[#This Row],[CandID]],Cands[[CandID]:[Cand_Name]],2,0)</f>
        <v>Sopheak (Max)</v>
      </c>
      <c r="D189" s="1" t="s">
        <v>94</v>
      </c>
      <c r="E189" s="1" t="str">
        <f>_xlfn.IFNA(VLOOKUP(Apps[[#This Row],[PostID]],Posts[[PostID]:[Position]],2,0),"")</f>
        <v>Farm Manager</v>
      </c>
      <c r="F189" s="4">
        <v>45304</v>
      </c>
      <c r="G189" s="3" t="s">
        <v>2847</v>
      </c>
      <c r="M189" s="3"/>
    </row>
    <row r="190" spans="1:16" x14ac:dyDescent="0.3">
      <c r="A190" s="1" t="s">
        <v>3042</v>
      </c>
      <c r="B190" s="1" t="s">
        <v>2410</v>
      </c>
      <c r="C190" s="1" t="str">
        <f>VLOOKUP(Apps[[#This Row],[CandID]],Cands[[CandID]:[Cand_Name]],2,0)</f>
        <v>Bre Chinet</v>
      </c>
      <c r="D190" s="1" t="s">
        <v>100</v>
      </c>
      <c r="E190" s="1" t="str">
        <f>_xlfn.IFNA(VLOOKUP(Apps[[#This Row],[PostID]],Posts[[PostID]:[Position]],2,0),"")</f>
        <v>Sales Director</v>
      </c>
      <c r="F190" s="4">
        <v>45306</v>
      </c>
      <c r="G190" s="3" t="s">
        <v>2848</v>
      </c>
      <c r="H190" s="8" t="s">
        <v>3477</v>
      </c>
      <c r="I190" s="4">
        <v>45320</v>
      </c>
      <c r="M190" s="3"/>
      <c r="O190" s="5">
        <v>350</v>
      </c>
      <c r="P190" s="5">
        <v>400</v>
      </c>
    </row>
    <row r="191" spans="1:16" x14ac:dyDescent="0.3">
      <c r="A191" s="1" t="s">
        <v>3043</v>
      </c>
      <c r="B191" s="1" t="s">
        <v>2411</v>
      </c>
      <c r="C191" s="1" t="str">
        <f>VLOOKUP(Apps[[#This Row],[CandID]],Cands[[CandID]:[Cand_Name]],2,0)</f>
        <v>Ma Daravuth</v>
      </c>
      <c r="D191" s="1" t="s">
        <v>94</v>
      </c>
      <c r="E191" s="1" t="str">
        <f>_xlfn.IFNA(VLOOKUP(Apps[[#This Row],[PostID]],Posts[[PostID]:[Position]],2,0),"")</f>
        <v>Farm Manager</v>
      </c>
      <c r="F191" s="4">
        <v>45306</v>
      </c>
      <c r="G191" s="3" t="s">
        <v>2847</v>
      </c>
      <c r="M191" s="3"/>
    </row>
    <row r="192" spans="1:16" x14ac:dyDescent="0.3">
      <c r="A192" s="1" t="s">
        <v>3044</v>
      </c>
      <c r="B192" s="1" t="s">
        <v>2412</v>
      </c>
      <c r="C192" s="1" t="str">
        <f>VLOOKUP(Apps[[#This Row],[CandID]],Cands[[CandID]:[Cand_Name]],2,0)</f>
        <v>Hy Tim</v>
      </c>
      <c r="D192" s="1" t="s">
        <v>90</v>
      </c>
      <c r="E192" s="1" t="str">
        <f>_xlfn.IFNA(VLOOKUP(Apps[[#This Row],[PostID]],Posts[[PostID]:[Position]],2,0),"")</f>
        <v>General Manager</v>
      </c>
      <c r="F192" s="4">
        <v>45306</v>
      </c>
      <c r="G192" s="3" t="s">
        <v>2847</v>
      </c>
      <c r="M192" s="3"/>
    </row>
    <row r="193" spans="1:16" x14ac:dyDescent="0.3">
      <c r="A193" s="1" t="s">
        <v>3045</v>
      </c>
      <c r="B193" s="1" t="s">
        <v>2413</v>
      </c>
      <c r="C193" s="1" t="str">
        <f>VLOOKUP(Apps[[#This Row],[CandID]],Cands[[CandID]:[Cand_Name]],2,0)</f>
        <v>San Sokal</v>
      </c>
      <c r="D193" s="1" t="s">
        <v>94</v>
      </c>
      <c r="E193" s="1" t="str">
        <f>_xlfn.IFNA(VLOOKUP(Apps[[#This Row],[PostID]],Posts[[PostID]:[Position]],2,0),"")</f>
        <v>Farm Manager</v>
      </c>
      <c r="F193" s="4">
        <v>45306</v>
      </c>
      <c r="G193" s="3" t="s">
        <v>2847</v>
      </c>
      <c r="M193" s="3"/>
    </row>
    <row r="194" spans="1:16" x14ac:dyDescent="0.3">
      <c r="A194" s="1" t="s">
        <v>3046</v>
      </c>
      <c r="B194" s="1" t="s">
        <v>2414</v>
      </c>
      <c r="C194" s="1" t="str">
        <f>VLOOKUP(Apps[[#This Row],[CandID]],Cands[[CandID]:[Cand_Name]],2,0)</f>
        <v>Serey Him</v>
      </c>
      <c r="D194" s="1" t="s">
        <v>94</v>
      </c>
      <c r="E194" s="1" t="str">
        <f>_xlfn.IFNA(VLOOKUP(Apps[[#This Row],[PostID]],Posts[[PostID]:[Position]],2,0),"")</f>
        <v>Farm Manager</v>
      </c>
      <c r="F194" s="4">
        <v>45306</v>
      </c>
      <c r="G194" s="3" t="s">
        <v>2847</v>
      </c>
      <c r="M194" s="3"/>
    </row>
    <row r="195" spans="1:16" x14ac:dyDescent="0.3">
      <c r="A195" s="1" t="s">
        <v>3047</v>
      </c>
      <c r="B195" s="1" t="s">
        <v>2415</v>
      </c>
      <c r="C195" s="1" t="str">
        <f>VLOOKUP(Apps[[#This Row],[CandID]],Cands[[CandID]:[Cand_Name]],2,0)</f>
        <v>Kang Souheng</v>
      </c>
      <c r="D195" s="1" t="s">
        <v>98</v>
      </c>
      <c r="E195" s="1" t="str">
        <f>_xlfn.IFNA(VLOOKUP(Apps[[#This Row],[PostID]],Posts[[PostID]:[Position]],2,0),"")</f>
        <v>Marketing Manager</v>
      </c>
      <c r="F195" s="4">
        <v>45307</v>
      </c>
      <c r="G195" s="3" t="s">
        <v>2847</v>
      </c>
      <c r="M195" s="3"/>
    </row>
    <row r="196" spans="1:16" x14ac:dyDescent="0.3">
      <c r="A196" s="1" t="s">
        <v>3048</v>
      </c>
      <c r="B196" s="1" t="s">
        <v>2416</v>
      </c>
      <c r="C196" s="1" t="str">
        <f>VLOOKUP(Apps[[#This Row],[CandID]],Cands[[CandID]:[Cand_Name]],2,0)</f>
        <v>Krien Thea</v>
      </c>
      <c r="E196" s="1" t="str">
        <f>_xlfn.IFNA(VLOOKUP(Apps[[#This Row],[PostID]],Posts[[PostID]:[Position]],2,0),"")</f>
        <v/>
      </c>
      <c r="F196" s="4">
        <v>45307</v>
      </c>
      <c r="G196" s="3" t="s">
        <v>2847</v>
      </c>
      <c r="M196" s="3"/>
    </row>
    <row r="197" spans="1:16" x14ac:dyDescent="0.3">
      <c r="A197" s="1" t="s">
        <v>3049</v>
      </c>
      <c r="B197" s="1" t="s">
        <v>2417</v>
      </c>
      <c r="C197" s="1" t="str">
        <f>VLOOKUP(Apps[[#This Row],[CandID]],Cands[[CandID]:[Cand_Name]],2,0)</f>
        <v>Kim Tai</v>
      </c>
      <c r="D197" s="1" t="s">
        <v>91</v>
      </c>
      <c r="E197" s="1" t="str">
        <f>_xlfn.IFNA(VLOOKUP(Apps[[#This Row],[PostID]],Posts[[PostID]:[Position]],2,0),"")</f>
        <v>Financial Controller</v>
      </c>
      <c r="F197" s="4">
        <v>45307</v>
      </c>
      <c r="G197" s="3" t="s">
        <v>2847</v>
      </c>
      <c r="M197" s="3"/>
    </row>
    <row r="198" spans="1:16" x14ac:dyDescent="0.3">
      <c r="A198" s="1" t="s">
        <v>3050</v>
      </c>
      <c r="B198" s="1" t="s">
        <v>2418</v>
      </c>
      <c r="C198" s="1" t="str">
        <f>VLOOKUP(Apps[[#This Row],[CandID]],Cands[[CandID]:[Cand_Name]],2,0)</f>
        <v>Sea Chakrya</v>
      </c>
      <c r="D198" s="1" t="s">
        <v>94</v>
      </c>
      <c r="E198" s="1" t="str">
        <f>_xlfn.IFNA(VLOOKUP(Apps[[#This Row],[PostID]],Posts[[PostID]:[Position]],2,0),"")</f>
        <v>Farm Manager</v>
      </c>
      <c r="F198" s="4">
        <v>45308</v>
      </c>
      <c r="G198" s="3" t="s">
        <v>2847</v>
      </c>
      <c r="M198" s="3"/>
    </row>
    <row r="199" spans="1:16" x14ac:dyDescent="0.3">
      <c r="A199" s="1" t="s">
        <v>3051</v>
      </c>
      <c r="B199" s="1" t="s">
        <v>2419</v>
      </c>
      <c r="C199" s="1" t="str">
        <f>VLOOKUP(Apps[[#This Row],[CandID]],Cands[[CandID]:[Cand_Name]],2,0)</f>
        <v>Tekhor Pheng</v>
      </c>
      <c r="D199" s="1" t="s">
        <v>94</v>
      </c>
      <c r="E199" s="1" t="str">
        <f>_xlfn.IFNA(VLOOKUP(Apps[[#This Row],[PostID]],Posts[[PostID]:[Position]],2,0),"")</f>
        <v>Farm Manager</v>
      </c>
      <c r="F199" s="4">
        <v>45308</v>
      </c>
      <c r="G199" s="3" t="s">
        <v>2847</v>
      </c>
      <c r="M199" s="3"/>
    </row>
    <row r="200" spans="1:16" x14ac:dyDescent="0.3">
      <c r="A200" s="1" t="s">
        <v>3052</v>
      </c>
      <c r="B200" s="1" t="s">
        <v>2420</v>
      </c>
      <c r="C200" s="1" t="str">
        <f>VLOOKUP(Apps[[#This Row],[CandID]],Cands[[CandID]:[Cand_Name]],2,0)</f>
        <v>Phanuth Sophea</v>
      </c>
      <c r="D200" s="1" t="s">
        <v>94</v>
      </c>
      <c r="E200" s="1" t="str">
        <f>_xlfn.IFNA(VLOOKUP(Apps[[#This Row],[PostID]],Posts[[PostID]:[Position]],2,0),"")</f>
        <v>Farm Manager</v>
      </c>
      <c r="F200" s="4">
        <v>45308</v>
      </c>
      <c r="G200" s="3" t="s">
        <v>2847</v>
      </c>
      <c r="M200" s="3"/>
    </row>
    <row r="201" spans="1:16" x14ac:dyDescent="0.3">
      <c r="A201" s="1" t="s">
        <v>3053</v>
      </c>
      <c r="B201" s="1" t="s">
        <v>2421</v>
      </c>
      <c r="C201" s="1" t="str">
        <f>VLOOKUP(Apps[[#This Row],[CandID]],Cands[[CandID]:[Cand_Name]],2,0)</f>
        <v>Hong Sovandara</v>
      </c>
      <c r="D201" s="1" t="s">
        <v>94</v>
      </c>
      <c r="E201" s="1" t="str">
        <f>_xlfn.IFNA(VLOOKUP(Apps[[#This Row],[PostID]],Posts[[PostID]:[Position]],2,0),"")</f>
        <v>Farm Manager</v>
      </c>
      <c r="F201" s="4">
        <v>45310</v>
      </c>
      <c r="G201" s="3" t="s">
        <v>2847</v>
      </c>
      <c r="M201" s="3"/>
    </row>
    <row r="202" spans="1:16" x14ac:dyDescent="0.3">
      <c r="A202" s="1" t="s">
        <v>3054</v>
      </c>
      <c r="B202" s="1" t="s">
        <v>2422</v>
      </c>
      <c r="C202" s="1" t="str">
        <f>VLOOKUP(Apps[[#This Row],[CandID]],Cands[[CandID]:[Cand_Name]],2,0)</f>
        <v>Panha Soksan</v>
      </c>
      <c r="D202" s="1" t="s">
        <v>98</v>
      </c>
      <c r="E202" s="1" t="str">
        <f>_xlfn.IFNA(VLOOKUP(Apps[[#This Row],[PostID]],Posts[[PostID]:[Position]],2,0),"")</f>
        <v>Marketing Manager</v>
      </c>
      <c r="F202" s="4">
        <v>45310</v>
      </c>
      <c r="G202" s="3" t="s">
        <v>2847</v>
      </c>
      <c r="M202" s="3"/>
    </row>
    <row r="203" spans="1:16" x14ac:dyDescent="0.3">
      <c r="A203" s="1" t="s">
        <v>3055</v>
      </c>
      <c r="B203" s="1" t="s">
        <v>2423</v>
      </c>
      <c r="C203" s="1" t="str">
        <f>VLOOKUP(Apps[[#This Row],[CandID]],Cands[[CandID]:[Cand_Name]],2,0)</f>
        <v>Rath Sienghai</v>
      </c>
      <c r="D203" s="1" t="s">
        <v>126</v>
      </c>
      <c r="E203" s="1" t="str">
        <f>_xlfn.IFNA(VLOOKUP(Apps[[#This Row],[PostID]],Posts[[PostID]:[Position]],2,0),"")</f>
        <v>Architect</v>
      </c>
      <c r="F203" s="4">
        <v>45310</v>
      </c>
      <c r="G203" s="3" t="s">
        <v>2847</v>
      </c>
      <c r="M203" s="3"/>
    </row>
    <row r="204" spans="1:16" x14ac:dyDescent="0.3">
      <c r="A204" s="1" t="s">
        <v>3056</v>
      </c>
      <c r="B204" s="1" t="s">
        <v>2424</v>
      </c>
      <c r="C204" s="1" t="str">
        <f>VLOOKUP(Apps[[#This Row],[CandID]],Cands[[CandID]:[Cand_Name]],2,0)</f>
        <v>Trok Sen</v>
      </c>
      <c r="D204" s="1" t="s">
        <v>126</v>
      </c>
      <c r="E204" s="1" t="str">
        <f>_xlfn.IFNA(VLOOKUP(Apps[[#This Row],[PostID]],Posts[[PostID]:[Position]],2,0),"")</f>
        <v>Architect</v>
      </c>
      <c r="F204" s="4">
        <v>45310</v>
      </c>
      <c r="G204" s="3" t="s">
        <v>2845</v>
      </c>
      <c r="H204" s="8" t="s">
        <v>3477</v>
      </c>
      <c r="I204" s="4">
        <v>45323</v>
      </c>
      <c r="M204" s="3" t="s">
        <v>2851</v>
      </c>
      <c r="O204" s="5">
        <v>200</v>
      </c>
      <c r="P204" s="5">
        <v>250</v>
      </c>
    </row>
    <row r="205" spans="1:16" x14ac:dyDescent="0.3">
      <c r="A205" s="1" t="s">
        <v>3057</v>
      </c>
      <c r="B205" s="1" t="s">
        <v>2425</v>
      </c>
      <c r="C205" s="1" t="str">
        <f>VLOOKUP(Apps[[#This Row],[CandID]],Cands[[CandID]:[Cand_Name]],2,0)</f>
        <v>Bun Pheang</v>
      </c>
      <c r="E205" s="1" t="str">
        <f>_xlfn.IFNA(VLOOKUP(Apps[[#This Row],[PostID]],Posts[[PostID]:[Position]],2,0),"")</f>
        <v/>
      </c>
      <c r="F205" s="4">
        <v>45310</v>
      </c>
      <c r="G205" s="3" t="s">
        <v>2845</v>
      </c>
      <c r="H205" s="8" t="s">
        <v>3477</v>
      </c>
      <c r="I205" s="4">
        <v>45310</v>
      </c>
      <c r="M205" s="3"/>
    </row>
    <row r="206" spans="1:16" x14ac:dyDescent="0.3">
      <c r="A206" s="1" t="s">
        <v>3058</v>
      </c>
      <c r="B206" s="1" t="s">
        <v>2426</v>
      </c>
      <c r="C206" s="1" t="str">
        <f>VLOOKUP(Apps[[#This Row],[CandID]],Cands[[CandID]:[Cand_Name]],2,0)</f>
        <v>Um Ryza</v>
      </c>
      <c r="D206" s="1" t="s">
        <v>92</v>
      </c>
      <c r="E206" s="1" t="str">
        <f>_xlfn.IFNA(VLOOKUP(Apps[[#This Row],[PostID]],Posts[[PostID]:[Position]],2,0),"")</f>
        <v>Finance Manager</v>
      </c>
      <c r="F206" s="4">
        <v>45311</v>
      </c>
      <c r="G206" s="3" t="s">
        <v>2846</v>
      </c>
      <c r="H206" s="8" t="s">
        <v>3477</v>
      </c>
      <c r="I206" s="4">
        <v>45315</v>
      </c>
      <c r="K206" s="8" t="s">
        <v>3521</v>
      </c>
      <c r="M206" s="3"/>
      <c r="N206" s="3" t="s">
        <v>3477</v>
      </c>
      <c r="O206" s="5">
        <v>2500</v>
      </c>
      <c r="P206" s="5">
        <v>2700</v>
      </c>
    </row>
    <row r="207" spans="1:16" x14ac:dyDescent="0.3">
      <c r="A207" s="1" t="s">
        <v>3059</v>
      </c>
      <c r="B207" s="1" t="s">
        <v>2427</v>
      </c>
      <c r="C207" s="1" t="str">
        <f>VLOOKUP(Apps[[#This Row],[CandID]],Cands[[CandID]:[Cand_Name]],2,0)</f>
        <v>Vann Vuthy</v>
      </c>
      <c r="D207" s="1" t="s">
        <v>99</v>
      </c>
      <c r="E207" s="1" t="str">
        <f>_xlfn.IFNA(VLOOKUP(Apps[[#This Row],[PostID]],Posts[[PostID]:[Position]],2,0),"")</f>
        <v>Deputy Marketing Manager (event)</v>
      </c>
      <c r="F207" s="4">
        <v>45313</v>
      </c>
      <c r="G207" s="3" t="s">
        <v>2846</v>
      </c>
      <c r="H207" s="8" t="s">
        <v>3477</v>
      </c>
      <c r="I207" s="4">
        <v>45322</v>
      </c>
      <c r="M207" s="3"/>
    </row>
    <row r="208" spans="1:16" x14ac:dyDescent="0.3">
      <c r="A208" s="1" t="s">
        <v>3060</v>
      </c>
      <c r="B208" s="1" t="s">
        <v>2428</v>
      </c>
      <c r="C208" s="1" t="str">
        <f>VLOOKUP(Apps[[#This Row],[CandID]],Cands[[CandID]:[Cand_Name]],2,0)</f>
        <v>Sydavid Dara</v>
      </c>
      <c r="D208" s="1" t="s">
        <v>94</v>
      </c>
      <c r="E208" s="1" t="str">
        <f>_xlfn.IFNA(VLOOKUP(Apps[[#This Row],[PostID]],Posts[[PostID]:[Position]],2,0),"")</f>
        <v>Farm Manager</v>
      </c>
      <c r="F208" s="4">
        <v>45313</v>
      </c>
      <c r="G208" s="3" t="s">
        <v>2847</v>
      </c>
      <c r="M208" s="3"/>
    </row>
    <row r="209" spans="1:16" x14ac:dyDescent="0.3">
      <c r="A209" s="1" t="s">
        <v>3061</v>
      </c>
      <c r="B209" s="1" t="s">
        <v>2429</v>
      </c>
      <c r="C209" s="1" t="str">
        <f>VLOOKUP(Apps[[#This Row],[CandID]],Cands[[CandID]:[Cand_Name]],2,0)</f>
        <v>Gnem Bunthai</v>
      </c>
      <c r="D209" s="1" t="s">
        <v>99</v>
      </c>
      <c r="E209" s="1" t="str">
        <f>_xlfn.IFNA(VLOOKUP(Apps[[#This Row],[PostID]],Posts[[PostID]:[Position]],2,0),"")</f>
        <v>Deputy Marketing Manager (event)</v>
      </c>
      <c r="F209" s="4">
        <v>45313</v>
      </c>
      <c r="G209" s="3" t="s">
        <v>2847</v>
      </c>
      <c r="M209" s="3"/>
    </row>
    <row r="210" spans="1:16" x14ac:dyDescent="0.3">
      <c r="A210" s="1" t="s">
        <v>3062</v>
      </c>
      <c r="B210" s="1" t="s">
        <v>2430</v>
      </c>
      <c r="C210" s="1" t="str">
        <f>VLOOKUP(Apps[[#This Row],[CandID]],Cands[[CandID]:[Cand_Name]],2,0)</f>
        <v>Nou Vuthy</v>
      </c>
      <c r="E210" s="1" t="str">
        <f>_xlfn.IFNA(VLOOKUP(Apps[[#This Row],[PostID]],Posts[[PostID]:[Position]],2,0),"")</f>
        <v/>
      </c>
      <c r="F210" s="4">
        <v>45313</v>
      </c>
      <c r="G210" s="3" t="s">
        <v>2847</v>
      </c>
      <c r="M210" s="3"/>
    </row>
    <row r="211" spans="1:16" x14ac:dyDescent="0.3">
      <c r="A211" s="1" t="s">
        <v>3063</v>
      </c>
      <c r="B211" s="1" t="s">
        <v>2431</v>
      </c>
      <c r="C211" s="1" t="str">
        <f>VLOOKUP(Apps[[#This Row],[CandID]],Cands[[CandID]:[Cand_Name]],2,0)</f>
        <v>Sodino Suong</v>
      </c>
      <c r="D211" s="1" t="s">
        <v>86</v>
      </c>
      <c r="E211" s="1" t="str">
        <f>_xlfn.IFNA(VLOOKUP(Apps[[#This Row],[PostID]],Posts[[PostID]:[Position]],2,0),"")</f>
        <v>Factory Supervisor</v>
      </c>
      <c r="F211" s="4">
        <v>45313</v>
      </c>
      <c r="G211" s="3" t="s">
        <v>2847</v>
      </c>
      <c r="M211" s="3"/>
    </row>
    <row r="212" spans="1:16" x14ac:dyDescent="0.3">
      <c r="A212" s="1" t="s">
        <v>3064</v>
      </c>
      <c r="B212" s="1" t="s">
        <v>2432</v>
      </c>
      <c r="C212" s="1" t="str">
        <f>VLOOKUP(Apps[[#This Row],[CandID]],Cands[[CandID]:[Cand_Name]],2,0)</f>
        <v>Pich Muny</v>
      </c>
      <c r="D212" s="1" t="s">
        <v>100</v>
      </c>
      <c r="E212" s="1" t="str">
        <f>_xlfn.IFNA(VLOOKUP(Apps[[#This Row],[PostID]],Posts[[PostID]:[Position]],2,0),"")</f>
        <v>Sales Director</v>
      </c>
      <c r="F212" s="4">
        <v>45313</v>
      </c>
      <c r="G212" s="3" t="s">
        <v>2847</v>
      </c>
      <c r="H212" s="8" t="s">
        <v>3477</v>
      </c>
      <c r="I212" s="4">
        <v>45321</v>
      </c>
      <c r="M212" s="3"/>
    </row>
    <row r="213" spans="1:16" x14ac:dyDescent="0.3">
      <c r="A213" s="1" t="s">
        <v>3065</v>
      </c>
      <c r="B213" s="1" t="s">
        <v>2433</v>
      </c>
      <c r="C213" s="1" t="str">
        <f>VLOOKUP(Apps[[#This Row],[CandID]],Cands[[CandID]:[Cand_Name]],2,0)</f>
        <v>Bun Sro</v>
      </c>
      <c r="D213" s="1" t="s">
        <v>99</v>
      </c>
      <c r="E213" s="1" t="str">
        <f>_xlfn.IFNA(VLOOKUP(Apps[[#This Row],[PostID]],Posts[[PostID]:[Position]],2,0),"")</f>
        <v>Deputy Marketing Manager (event)</v>
      </c>
      <c r="F213" s="4">
        <v>45314</v>
      </c>
      <c r="G213" s="3" t="s">
        <v>2847</v>
      </c>
      <c r="M213" s="3"/>
    </row>
    <row r="214" spans="1:16" x14ac:dyDescent="0.3">
      <c r="A214" s="1" t="s">
        <v>3066</v>
      </c>
      <c r="B214" s="1" t="s">
        <v>2434</v>
      </c>
      <c r="C214" s="1" t="str">
        <f>VLOOKUP(Apps[[#This Row],[CandID]],Cands[[CandID]:[Cand_Name]],2,0)</f>
        <v>Ky Sokuntheary</v>
      </c>
      <c r="E214" s="1" t="str">
        <f>_xlfn.IFNA(VLOOKUP(Apps[[#This Row],[PostID]],Posts[[PostID]:[Position]],2,0),"")</f>
        <v/>
      </c>
      <c r="F214" s="4">
        <v>45314</v>
      </c>
      <c r="G214" s="3" t="s">
        <v>2847</v>
      </c>
      <c r="M214" s="3"/>
    </row>
    <row r="215" spans="1:16" x14ac:dyDescent="0.3">
      <c r="A215" s="1" t="s">
        <v>3067</v>
      </c>
      <c r="B215" s="1" t="s">
        <v>2435</v>
      </c>
      <c r="C215" s="1" t="str">
        <f>VLOOKUP(Apps[[#This Row],[CandID]],Cands[[CandID]:[Cand_Name]],2,0)</f>
        <v>Trek Penghy</v>
      </c>
      <c r="D215" s="1" t="s">
        <v>99</v>
      </c>
      <c r="E215" s="1" t="str">
        <f>_xlfn.IFNA(VLOOKUP(Apps[[#This Row],[PostID]],Posts[[PostID]:[Position]],2,0),"")</f>
        <v>Deputy Marketing Manager (event)</v>
      </c>
      <c r="F215" s="4">
        <v>45314</v>
      </c>
      <c r="G215" s="3" t="s">
        <v>2847</v>
      </c>
      <c r="M215" s="3"/>
    </row>
    <row r="216" spans="1:16" x14ac:dyDescent="0.3">
      <c r="A216" s="1" t="s">
        <v>3068</v>
      </c>
      <c r="B216" s="1" t="s">
        <v>2436</v>
      </c>
      <c r="C216" s="1" t="str">
        <f>VLOOKUP(Apps[[#This Row],[CandID]],Cands[[CandID]:[Cand_Name]],2,0)</f>
        <v>Morm Heam</v>
      </c>
      <c r="D216" s="1" t="s">
        <v>100</v>
      </c>
      <c r="E216" s="1" t="str">
        <f>_xlfn.IFNA(VLOOKUP(Apps[[#This Row],[PostID]],Posts[[PostID]:[Position]],2,0),"")</f>
        <v>Sales Director</v>
      </c>
      <c r="F216" s="4">
        <v>45315</v>
      </c>
      <c r="G216" s="3" t="s">
        <v>2847</v>
      </c>
      <c r="M216" s="3"/>
    </row>
    <row r="217" spans="1:16" x14ac:dyDescent="0.3">
      <c r="A217" s="1" t="s">
        <v>3069</v>
      </c>
      <c r="B217" s="1" t="s">
        <v>2437</v>
      </c>
      <c r="C217" s="1" t="str">
        <f>VLOOKUP(Apps[[#This Row],[CandID]],Cands[[CandID]:[Cand_Name]],2,0)</f>
        <v>Sar Chhorn Vong Dalyrith</v>
      </c>
      <c r="E217" s="1" t="str">
        <f>_xlfn.IFNA(VLOOKUP(Apps[[#This Row],[PostID]],Posts[[PostID]:[Position]],2,0),"")</f>
        <v/>
      </c>
      <c r="F217" s="4">
        <v>45316</v>
      </c>
      <c r="G217" s="3" t="s">
        <v>2847</v>
      </c>
      <c r="M217" s="3"/>
    </row>
    <row r="218" spans="1:16" x14ac:dyDescent="0.3">
      <c r="A218" s="1" t="s">
        <v>3070</v>
      </c>
      <c r="B218" s="1" t="s">
        <v>2438</v>
      </c>
      <c r="C218" s="1" t="str">
        <f>VLOOKUP(Apps[[#This Row],[CandID]],Cands[[CandID]:[Cand_Name]],2,0)</f>
        <v>Pheng Samnang</v>
      </c>
      <c r="D218" s="1" t="s">
        <v>86</v>
      </c>
      <c r="E218" s="1" t="str">
        <f>_xlfn.IFNA(VLOOKUP(Apps[[#This Row],[PostID]],Posts[[PostID]:[Position]],2,0),"")</f>
        <v>Factory Supervisor</v>
      </c>
      <c r="F218" s="4">
        <v>45316</v>
      </c>
      <c r="G218" s="3" t="s">
        <v>2847</v>
      </c>
      <c r="M218" s="3"/>
    </row>
    <row r="219" spans="1:16" x14ac:dyDescent="0.3">
      <c r="A219" s="1" t="s">
        <v>3071</v>
      </c>
      <c r="B219" s="1" t="s">
        <v>2439</v>
      </c>
      <c r="C219" s="1" t="str">
        <f>VLOOKUP(Apps[[#This Row],[CandID]],Cands[[CandID]:[Cand_Name]],2,0)</f>
        <v>Din Vandet</v>
      </c>
      <c r="D219" s="1" t="s">
        <v>100</v>
      </c>
      <c r="E219" s="1" t="str">
        <f>_xlfn.IFNA(VLOOKUP(Apps[[#This Row],[PostID]],Posts[[PostID]:[Position]],2,0),"")</f>
        <v>Sales Director</v>
      </c>
      <c r="F219" s="4">
        <v>45316</v>
      </c>
      <c r="G219" s="3" t="s">
        <v>2847</v>
      </c>
      <c r="H219" s="8" t="s">
        <v>3477</v>
      </c>
      <c r="I219" s="4">
        <v>45320</v>
      </c>
      <c r="J219" s="4">
        <v>45324</v>
      </c>
      <c r="M219" s="3" t="s">
        <v>2851</v>
      </c>
      <c r="O219" s="5">
        <v>450</v>
      </c>
      <c r="P219" s="5">
        <v>470</v>
      </c>
    </row>
    <row r="220" spans="1:16" x14ac:dyDescent="0.3">
      <c r="A220" s="1" t="s">
        <v>3072</v>
      </c>
      <c r="B220" s="1" t="s">
        <v>2440</v>
      </c>
      <c r="C220" s="1" t="str">
        <f>VLOOKUP(Apps[[#This Row],[CandID]],Cands[[CandID]:[Cand_Name]],2,0)</f>
        <v>Chiv Sochea</v>
      </c>
      <c r="D220" s="1" t="s">
        <v>90</v>
      </c>
      <c r="E220" s="1" t="str">
        <f>_xlfn.IFNA(VLOOKUP(Apps[[#This Row],[PostID]],Posts[[PostID]:[Position]],2,0),"")</f>
        <v>General Manager</v>
      </c>
      <c r="F220" s="4">
        <v>45317</v>
      </c>
      <c r="G220" s="3" t="s">
        <v>2847</v>
      </c>
      <c r="H220" s="8" t="s">
        <v>3477</v>
      </c>
      <c r="I220" s="4">
        <v>45322</v>
      </c>
      <c r="K220" s="8" t="s">
        <v>3521</v>
      </c>
      <c r="M220" s="3"/>
      <c r="N220" s="3" t="s">
        <v>3477</v>
      </c>
      <c r="O220" s="5">
        <v>2600</v>
      </c>
      <c r="P220" s="5">
        <v>3500</v>
      </c>
    </row>
    <row r="221" spans="1:16" x14ac:dyDescent="0.3">
      <c r="A221" s="1" t="s">
        <v>3073</v>
      </c>
      <c r="B221" s="1" t="s">
        <v>2441</v>
      </c>
      <c r="C221" s="1" t="str">
        <f>VLOOKUP(Apps[[#This Row],[CandID]],Cands[[CandID]:[Cand_Name]],2,0)</f>
        <v>Tim Sochea</v>
      </c>
      <c r="D221" s="1" t="s">
        <v>86</v>
      </c>
      <c r="E221" s="1" t="str">
        <f>_xlfn.IFNA(VLOOKUP(Apps[[#This Row],[PostID]],Posts[[PostID]:[Position]],2,0),"")</f>
        <v>Factory Supervisor</v>
      </c>
      <c r="F221" s="4">
        <v>45317</v>
      </c>
      <c r="G221" s="3" t="s">
        <v>2847</v>
      </c>
      <c r="M221" s="3"/>
    </row>
    <row r="222" spans="1:16" x14ac:dyDescent="0.3">
      <c r="A222" s="1" t="s">
        <v>3074</v>
      </c>
      <c r="B222" s="1" t="s">
        <v>2442</v>
      </c>
      <c r="C222" s="1" t="str">
        <f>VLOOKUP(Apps[[#This Row],[CandID]],Cands[[CandID]:[Cand_Name]],2,0)</f>
        <v>Pov Lyheng</v>
      </c>
      <c r="D222" s="1" t="s">
        <v>106</v>
      </c>
      <c r="E222" s="1" t="str">
        <f>_xlfn.IFNA(VLOOKUP(Apps[[#This Row],[PostID]],Posts[[PostID]:[Position]],2,0),"")</f>
        <v>Senior Accounting Officer</v>
      </c>
      <c r="F222" s="4">
        <v>45317</v>
      </c>
      <c r="G222" s="3" t="s">
        <v>2848</v>
      </c>
      <c r="H222" s="8" t="s">
        <v>3477</v>
      </c>
      <c r="I222" s="4">
        <v>45329</v>
      </c>
      <c r="M222" s="3"/>
    </row>
    <row r="223" spans="1:16" x14ac:dyDescent="0.3">
      <c r="A223" s="1" t="s">
        <v>3075</v>
      </c>
      <c r="B223" s="1" t="s">
        <v>2443</v>
      </c>
      <c r="C223" s="1" t="str">
        <f>VLOOKUP(Apps[[#This Row],[CandID]],Cands[[CandID]:[Cand_Name]],2,0)</f>
        <v>Chhean Chanraksmey</v>
      </c>
      <c r="D223" s="1" t="s">
        <v>106</v>
      </c>
      <c r="E223" s="1" t="str">
        <f>_xlfn.IFNA(VLOOKUP(Apps[[#This Row],[PostID]],Posts[[PostID]:[Position]],2,0),"")</f>
        <v>Senior Accounting Officer</v>
      </c>
      <c r="F223" s="4">
        <v>45317</v>
      </c>
      <c r="G223" s="3" t="s">
        <v>2848</v>
      </c>
      <c r="H223" s="8" t="s">
        <v>3477</v>
      </c>
      <c r="I223" s="4">
        <v>45329</v>
      </c>
      <c r="M223" s="3"/>
    </row>
    <row r="224" spans="1:16" x14ac:dyDescent="0.3">
      <c r="A224" s="1" t="s">
        <v>3076</v>
      </c>
      <c r="B224" s="1" t="s">
        <v>2444</v>
      </c>
      <c r="C224" s="1" t="str">
        <f>VLOOKUP(Apps[[#This Row],[CandID]],Cands[[CandID]:[Cand_Name]],2,0)</f>
        <v>Chea Sovantothmanin</v>
      </c>
      <c r="D224" s="1" t="s">
        <v>100</v>
      </c>
      <c r="E224" s="1" t="str">
        <f>_xlfn.IFNA(VLOOKUP(Apps[[#This Row],[PostID]],Posts[[PostID]:[Position]],2,0),"")</f>
        <v>Sales Director</v>
      </c>
      <c r="F224" s="4">
        <v>45317</v>
      </c>
      <c r="G224" s="3" t="s">
        <v>2848</v>
      </c>
      <c r="H224" s="8" t="s">
        <v>3477</v>
      </c>
      <c r="I224" s="4">
        <v>45321</v>
      </c>
      <c r="M224" s="3"/>
    </row>
    <row r="225" spans="1:17" x14ac:dyDescent="0.3">
      <c r="A225" s="1" t="s">
        <v>3077</v>
      </c>
      <c r="B225" s="1" t="s">
        <v>2445</v>
      </c>
      <c r="C225" s="1" t="str">
        <f>VLOOKUP(Apps[[#This Row],[CandID]],Cands[[CandID]:[Cand_Name]],2,0)</f>
        <v>Chea Khanny</v>
      </c>
      <c r="D225" s="1" t="s">
        <v>91</v>
      </c>
      <c r="E225" s="1" t="str">
        <f>_xlfn.IFNA(VLOOKUP(Apps[[#This Row],[PostID]],Posts[[PostID]:[Position]],2,0),"")</f>
        <v>Financial Controller</v>
      </c>
      <c r="F225" s="4">
        <v>45317</v>
      </c>
      <c r="G225" s="3" t="s">
        <v>2847</v>
      </c>
      <c r="H225" s="8" t="s">
        <v>3477</v>
      </c>
      <c r="I225" s="4">
        <v>45323</v>
      </c>
      <c r="M225" s="3"/>
    </row>
    <row r="226" spans="1:17" x14ac:dyDescent="0.3">
      <c r="A226" s="1" t="s">
        <v>3078</v>
      </c>
      <c r="B226" s="1" t="s">
        <v>2446</v>
      </c>
      <c r="C226" s="1" t="str">
        <f>VLOOKUP(Apps[[#This Row],[CandID]],Cands[[CandID]:[Cand_Name]],2,0)</f>
        <v>Pech Sorya</v>
      </c>
      <c r="D226" s="1" t="s">
        <v>92</v>
      </c>
      <c r="E226" s="1" t="str">
        <f>_xlfn.IFNA(VLOOKUP(Apps[[#This Row],[PostID]],Posts[[PostID]:[Position]],2,0),"")</f>
        <v>Finance Manager</v>
      </c>
      <c r="F226" s="4">
        <v>45319</v>
      </c>
      <c r="G226" s="3" t="s">
        <v>2847</v>
      </c>
      <c r="M226" s="3"/>
    </row>
    <row r="227" spans="1:17" x14ac:dyDescent="0.3">
      <c r="A227" s="1" t="s">
        <v>3079</v>
      </c>
      <c r="B227" s="1" t="s">
        <v>2447</v>
      </c>
      <c r="C227" s="1" t="str">
        <f>VLOOKUP(Apps[[#This Row],[CandID]],Cands[[CandID]:[Cand_Name]],2,0)</f>
        <v>Theang Vanda</v>
      </c>
      <c r="D227" s="1" t="s">
        <v>86</v>
      </c>
      <c r="E227" s="1" t="str">
        <f>_xlfn.IFNA(VLOOKUP(Apps[[#This Row],[PostID]],Posts[[PostID]:[Position]],2,0),"")</f>
        <v>Factory Supervisor</v>
      </c>
      <c r="F227" s="4">
        <v>45319</v>
      </c>
      <c r="G227" s="3" t="s">
        <v>2847</v>
      </c>
      <c r="M227" s="3"/>
    </row>
    <row r="228" spans="1:17" x14ac:dyDescent="0.3">
      <c r="A228" s="1" t="s">
        <v>3080</v>
      </c>
      <c r="B228" s="1" t="s">
        <v>2448</v>
      </c>
      <c r="C228" s="1" t="str">
        <f>VLOOKUP(Apps[[#This Row],[CandID]],Cands[[CandID]:[Cand_Name]],2,0)</f>
        <v>Meas Ratanak</v>
      </c>
      <c r="D228" s="1" t="s">
        <v>100</v>
      </c>
      <c r="E228" s="1" t="str">
        <f>_xlfn.IFNA(VLOOKUP(Apps[[#This Row],[PostID]],Posts[[PostID]:[Position]],2,0),"")</f>
        <v>Sales Director</v>
      </c>
      <c r="F228" s="4">
        <v>45320</v>
      </c>
      <c r="G228" s="3" t="s">
        <v>2847</v>
      </c>
      <c r="M228" s="3"/>
    </row>
    <row r="229" spans="1:17" x14ac:dyDescent="0.3">
      <c r="A229" s="1" t="s">
        <v>3081</v>
      </c>
      <c r="B229" s="1" t="s">
        <v>2449</v>
      </c>
      <c r="C229" s="1" t="str">
        <f>VLOOKUP(Apps[[#This Row],[CandID]],Cands[[CandID]:[Cand_Name]],2,0)</f>
        <v>Sophal Meas</v>
      </c>
      <c r="D229" s="1" t="s">
        <v>1115</v>
      </c>
      <c r="E229" s="1" t="str">
        <f>_xlfn.IFNA(VLOOKUP(Apps[[#This Row],[PostID]],Posts[[PostID]:[Position]],2,0),"")</f>
        <v/>
      </c>
      <c r="F229" s="4">
        <v>45320</v>
      </c>
      <c r="G229" s="3" t="s">
        <v>2847</v>
      </c>
      <c r="M229" s="3"/>
    </row>
    <row r="230" spans="1:17" x14ac:dyDescent="0.3">
      <c r="A230" s="1" t="s">
        <v>3082</v>
      </c>
      <c r="B230" s="1" t="s">
        <v>2450</v>
      </c>
      <c r="C230" s="1" t="str">
        <f>VLOOKUP(Apps[[#This Row],[CandID]],Cands[[CandID]:[Cand_Name]],2,0)</f>
        <v>Yim Mearady</v>
      </c>
      <c r="D230" s="1" t="s">
        <v>1115</v>
      </c>
      <c r="E230" s="1" t="str">
        <f>_xlfn.IFNA(VLOOKUP(Apps[[#This Row],[PostID]],Posts[[PostID]:[Position]],2,0),"")</f>
        <v/>
      </c>
      <c r="F230" s="4">
        <v>45321</v>
      </c>
      <c r="G230" s="3" t="s">
        <v>2847</v>
      </c>
      <c r="M230" s="3"/>
    </row>
    <row r="231" spans="1:17" x14ac:dyDescent="0.3">
      <c r="A231" s="1" t="s">
        <v>3083</v>
      </c>
      <c r="B231" s="1" t="s">
        <v>2451</v>
      </c>
      <c r="C231" s="1" t="str">
        <f>VLOOKUP(Apps[[#This Row],[CandID]],Cands[[CandID]:[Cand_Name]],2,0)</f>
        <v>Nguon Leanghok</v>
      </c>
      <c r="D231" s="1" t="s">
        <v>100</v>
      </c>
      <c r="E231" s="1" t="str">
        <f>_xlfn.IFNA(VLOOKUP(Apps[[#This Row],[PostID]],Posts[[PostID]:[Position]],2,0),"")</f>
        <v>Sales Director</v>
      </c>
      <c r="F231" s="4">
        <v>45321</v>
      </c>
      <c r="G231" s="3" t="s">
        <v>2847</v>
      </c>
      <c r="M231" s="3"/>
    </row>
    <row r="232" spans="1:17" x14ac:dyDescent="0.3">
      <c r="A232" s="1" t="s">
        <v>3084</v>
      </c>
      <c r="B232" s="1" t="s">
        <v>2452</v>
      </c>
      <c r="C232" s="1" t="str">
        <f>VLOOKUP(Apps[[#This Row],[CandID]],Cands[[CandID]:[Cand_Name]],2,0)</f>
        <v>Kim Oudomkhemara</v>
      </c>
      <c r="D232" s="1" t="s">
        <v>126</v>
      </c>
      <c r="E232" s="1" t="str">
        <f>_xlfn.IFNA(VLOOKUP(Apps[[#This Row],[PostID]],Posts[[PostID]:[Position]],2,0),"")</f>
        <v>Architect</v>
      </c>
      <c r="F232" s="4">
        <v>45321</v>
      </c>
      <c r="G232" s="3" t="s">
        <v>2847</v>
      </c>
      <c r="M232" s="3"/>
    </row>
    <row r="233" spans="1:17" x14ac:dyDescent="0.3">
      <c r="A233" s="1" t="s">
        <v>3085</v>
      </c>
      <c r="B233" s="1" t="s">
        <v>2453</v>
      </c>
      <c r="C233" s="1" t="str">
        <f>VLOOKUP(Apps[[#This Row],[CandID]],Cands[[CandID]:[Cand_Name]],2,0)</f>
        <v>Yem Stangda</v>
      </c>
      <c r="D233" s="1" t="s">
        <v>94</v>
      </c>
      <c r="E233" s="1" t="str">
        <f>_xlfn.IFNA(VLOOKUP(Apps[[#This Row],[PostID]],Posts[[PostID]:[Position]],2,0),"")</f>
        <v>Farm Manager</v>
      </c>
      <c r="F233" s="4">
        <v>45321</v>
      </c>
      <c r="G233" s="3" t="s">
        <v>2847</v>
      </c>
      <c r="M233" s="3"/>
    </row>
    <row r="234" spans="1:17" x14ac:dyDescent="0.3">
      <c r="A234" s="1" t="s">
        <v>3086</v>
      </c>
      <c r="B234" s="1" t="s">
        <v>2454</v>
      </c>
      <c r="C234" s="1" t="str">
        <f>VLOOKUP(Apps[[#This Row],[CandID]],Cands[[CandID]:[Cand_Name]],2,0)</f>
        <v>Roeun Soda</v>
      </c>
      <c r="D234" s="1" t="s">
        <v>1115</v>
      </c>
      <c r="E234" s="1" t="str">
        <f>_xlfn.IFNA(VLOOKUP(Apps[[#This Row],[PostID]],Posts[[PostID]:[Position]],2,0),"")</f>
        <v/>
      </c>
      <c r="F234" s="4">
        <v>45321</v>
      </c>
      <c r="G234" s="3" t="s">
        <v>2847</v>
      </c>
      <c r="H234" s="8" t="s">
        <v>3475</v>
      </c>
      <c r="K234" s="8" t="s">
        <v>3521</v>
      </c>
      <c r="M234" s="3"/>
    </row>
    <row r="235" spans="1:17" x14ac:dyDescent="0.3">
      <c r="A235" s="1" t="s">
        <v>3087</v>
      </c>
      <c r="B235" s="1" t="s">
        <v>2455</v>
      </c>
      <c r="C235" s="1" t="str">
        <f>VLOOKUP(Apps[[#This Row],[CandID]],Cands[[CandID]:[Cand_Name]],2,0)</f>
        <v>Tok Veasna</v>
      </c>
      <c r="D235" s="1" t="s">
        <v>92</v>
      </c>
      <c r="E235" s="1" t="str">
        <f>_xlfn.IFNA(VLOOKUP(Apps[[#This Row],[PostID]],Posts[[PostID]:[Position]],2,0),"")</f>
        <v>Finance Manager</v>
      </c>
      <c r="F235" s="4">
        <v>45321</v>
      </c>
      <c r="G235" s="3" t="s">
        <v>2847</v>
      </c>
      <c r="H235" s="8" t="s">
        <v>3477</v>
      </c>
      <c r="J235" s="4">
        <v>45321</v>
      </c>
      <c r="M235" s="3" t="s">
        <v>2851</v>
      </c>
      <c r="O235" s="5">
        <v>1577</v>
      </c>
      <c r="P235" s="5">
        <v>1650</v>
      </c>
      <c r="Q235" s="1" t="s">
        <v>2850</v>
      </c>
    </row>
    <row r="236" spans="1:17" x14ac:dyDescent="0.3">
      <c r="A236" s="1" t="s">
        <v>3088</v>
      </c>
      <c r="B236" s="1" t="s">
        <v>2456</v>
      </c>
      <c r="C236" s="1" t="str">
        <f>VLOOKUP(Apps[[#This Row],[CandID]],Cands[[CandID]:[Cand_Name]],2,0)</f>
        <v>Seyha Chetha Kevin</v>
      </c>
      <c r="D236" s="1" t="s">
        <v>100</v>
      </c>
      <c r="E236" s="1" t="str">
        <f>_xlfn.IFNA(VLOOKUP(Apps[[#This Row],[PostID]],Posts[[PostID]:[Position]],2,0),"")</f>
        <v>Sales Director</v>
      </c>
      <c r="F236" s="4">
        <v>45321</v>
      </c>
      <c r="G236" s="3" t="s">
        <v>2848</v>
      </c>
      <c r="H236" s="8" t="s">
        <v>3477</v>
      </c>
      <c r="I236" s="4">
        <v>45328</v>
      </c>
      <c r="J236" s="4">
        <v>45337</v>
      </c>
      <c r="M236" s="3"/>
    </row>
    <row r="237" spans="1:17" x14ac:dyDescent="0.3">
      <c r="A237" s="1" t="s">
        <v>3089</v>
      </c>
      <c r="B237" s="1" t="s">
        <v>2457</v>
      </c>
      <c r="C237" s="1" t="str">
        <f>VLOOKUP(Apps[[#This Row],[CandID]],Cands[[CandID]:[Cand_Name]],2,0)</f>
        <v>Liv Chanmali</v>
      </c>
      <c r="E237" s="1" t="str">
        <f>_xlfn.IFNA(VLOOKUP(Apps[[#This Row],[PostID]],Posts[[PostID]:[Position]],2,0),"")</f>
        <v/>
      </c>
      <c r="F237" s="4">
        <v>45323</v>
      </c>
      <c r="G237" s="3" t="s">
        <v>2846</v>
      </c>
      <c r="M237" s="3"/>
    </row>
    <row r="238" spans="1:17" x14ac:dyDescent="0.3">
      <c r="A238" s="1" t="s">
        <v>3090</v>
      </c>
      <c r="B238" s="1" t="s">
        <v>2458</v>
      </c>
      <c r="C238" s="1" t="str">
        <f>VLOOKUP(Apps[[#This Row],[CandID]],Cands[[CandID]:[Cand_Name]],2,0)</f>
        <v>Ven Veng</v>
      </c>
      <c r="E238" s="1" t="str">
        <f>_xlfn.IFNA(VLOOKUP(Apps[[#This Row],[PostID]],Posts[[PostID]:[Position]],2,0),"")</f>
        <v/>
      </c>
      <c r="F238" s="4">
        <v>45323</v>
      </c>
      <c r="G238" s="3" t="s">
        <v>2846</v>
      </c>
      <c r="M238" s="3"/>
    </row>
    <row r="239" spans="1:17" x14ac:dyDescent="0.3">
      <c r="A239" s="1" t="s">
        <v>3091</v>
      </c>
      <c r="B239" s="1" t="s">
        <v>2459</v>
      </c>
      <c r="C239" s="1" t="str">
        <f>VLOOKUP(Apps[[#This Row],[CandID]],Cands[[CandID]:[Cand_Name]],2,0)</f>
        <v>Choeung Mach</v>
      </c>
      <c r="E239" s="1" t="str">
        <f>_xlfn.IFNA(VLOOKUP(Apps[[#This Row],[PostID]],Posts[[PostID]:[Position]],2,0),"")</f>
        <v/>
      </c>
      <c r="F239" s="4">
        <v>45323</v>
      </c>
      <c r="G239" s="3" t="s">
        <v>2846</v>
      </c>
      <c r="M239" s="3"/>
    </row>
    <row r="240" spans="1:17" x14ac:dyDescent="0.3">
      <c r="A240" s="1" t="s">
        <v>3092</v>
      </c>
      <c r="B240" s="1" t="s">
        <v>2460</v>
      </c>
      <c r="C240" s="1" t="str">
        <f>VLOOKUP(Apps[[#This Row],[CandID]],Cands[[CandID]:[Cand_Name]],2,0)</f>
        <v>Saman Norithya</v>
      </c>
      <c r="E240" s="1" t="str">
        <f>_xlfn.IFNA(VLOOKUP(Apps[[#This Row],[PostID]],Posts[[PostID]:[Position]],2,0),"")</f>
        <v/>
      </c>
      <c r="F240" s="4">
        <v>45323</v>
      </c>
      <c r="G240" s="3" t="s">
        <v>2846</v>
      </c>
      <c r="M240" s="3"/>
    </row>
    <row r="241" spans="1:13" x14ac:dyDescent="0.3">
      <c r="A241" s="1" t="s">
        <v>3093</v>
      </c>
      <c r="B241" s="1" t="s">
        <v>2461</v>
      </c>
      <c r="C241" s="1" t="str">
        <f>VLOOKUP(Apps[[#This Row],[CandID]],Cands[[CandID]:[Cand_Name]],2,0)</f>
        <v>Pen Sreyleang</v>
      </c>
      <c r="D241" s="1" t="s">
        <v>99</v>
      </c>
      <c r="E241" s="1" t="str">
        <f>_xlfn.IFNA(VLOOKUP(Apps[[#This Row],[PostID]],Posts[[PostID]:[Position]],2,0),"")</f>
        <v>Deputy Marketing Manager (event)</v>
      </c>
      <c r="F241" s="4">
        <v>45324</v>
      </c>
      <c r="G241" s="3" t="s">
        <v>2848</v>
      </c>
      <c r="H241" s="8" t="s">
        <v>3477</v>
      </c>
      <c r="I241" s="4">
        <v>45330</v>
      </c>
      <c r="M241" s="3" t="s">
        <v>2851</v>
      </c>
    </row>
    <row r="242" spans="1:13" x14ac:dyDescent="0.3">
      <c r="A242" s="1" t="s">
        <v>3094</v>
      </c>
      <c r="B242" s="1" t="s">
        <v>2462</v>
      </c>
      <c r="C242" s="1" t="str">
        <f>VLOOKUP(Apps[[#This Row],[CandID]],Cands[[CandID]:[Cand_Name]],2,0)</f>
        <v>Chong Liza</v>
      </c>
      <c r="D242" s="1" t="s">
        <v>99</v>
      </c>
      <c r="E242" s="1" t="str">
        <f>_xlfn.IFNA(VLOOKUP(Apps[[#This Row],[PostID]],Posts[[PostID]:[Position]],2,0),"")</f>
        <v>Deputy Marketing Manager (event)</v>
      </c>
      <c r="F242" s="4">
        <v>45324</v>
      </c>
      <c r="G242" s="3" t="s">
        <v>2848</v>
      </c>
      <c r="H242" s="8" t="s">
        <v>3477</v>
      </c>
      <c r="I242" s="4">
        <v>45330</v>
      </c>
      <c r="M242" s="3"/>
    </row>
    <row r="243" spans="1:13" x14ac:dyDescent="0.3">
      <c r="A243" s="1" t="s">
        <v>3095</v>
      </c>
      <c r="B243" s="1" t="s">
        <v>2463</v>
      </c>
      <c r="C243" s="1" t="str">
        <f>VLOOKUP(Apps[[#This Row],[CandID]],Cands[[CandID]:[Cand_Name]],2,0)</f>
        <v>Leng Sekrey</v>
      </c>
      <c r="E243" s="1" t="str">
        <f>_xlfn.IFNA(VLOOKUP(Apps[[#This Row],[PostID]],Posts[[PostID]:[Position]],2,0),"")</f>
        <v/>
      </c>
      <c r="F243" s="4">
        <v>45324</v>
      </c>
      <c r="G243" s="3" t="s">
        <v>2848</v>
      </c>
      <c r="H243" s="8" t="s">
        <v>3477</v>
      </c>
      <c r="I243" s="4">
        <v>45330</v>
      </c>
      <c r="M243" s="3"/>
    </row>
    <row r="244" spans="1:13" x14ac:dyDescent="0.3">
      <c r="A244" s="1" t="s">
        <v>3096</v>
      </c>
      <c r="B244" s="1" t="s">
        <v>2464</v>
      </c>
      <c r="C244" s="1" t="str">
        <f>VLOOKUP(Apps[[#This Row],[CandID]],Cands[[CandID]:[Cand_Name]],2,0)</f>
        <v>Leng Kanha</v>
      </c>
      <c r="E244" s="1" t="str">
        <f>_xlfn.IFNA(VLOOKUP(Apps[[#This Row],[PostID]],Posts[[PostID]:[Position]],2,0),"")</f>
        <v/>
      </c>
      <c r="F244" s="4">
        <v>45324</v>
      </c>
      <c r="G244" s="3" t="s">
        <v>2848</v>
      </c>
      <c r="H244" s="8" t="s">
        <v>3477</v>
      </c>
      <c r="I244" s="4">
        <v>45330</v>
      </c>
      <c r="M244" s="3"/>
    </row>
    <row r="245" spans="1:13" x14ac:dyDescent="0.3">
      <c r="A245" s="1" t="s">
        <v>3097</v>
      </c>
      <c r="B245" s="1" t="s">
        <v>2465</v>
      </c>
      <c r="C245" s="1" t="str">
        <f>VLOOKUP(Apps[[#This Row],[CandID]],Cands[[CandID]:[Cand_Name]],2,0)</f>
        <v>Lap Rathanaksophea</v>
      </c>
      <c r="E245" s="1" t="str">
        <f>_xlfn.IFNA(VLOOKUP(Apps[[#This Row],[PostID]],Posts[[PostID]:[Position]],2,0),"")</f>
        <v/>
      </c>
      <c r="F245" s="4">
        <v>45324</v>
      </c>
      <c r="G245" s="3" t="s">
        <v>2848</v>
      </c>
      <c r="H245" s="8" t="s">
        <v>3477</v>
      </c>
      <c r="I245" s="4">
        <v>45330</v>
      </c>
      <c r="M245" s="3"/>
    </row>
    <row r="246" spans="1:13" x14ac:dyDescent="0.3">
      <c r="A246" s="1" t="s">
        <v>3098</v>
      </c>
      <c r="B246" s="1" t="s">
        <v>2466</v>
      </c>
      <c r="C246" s="1" t="str">
        <f>VLOOKUP(Apps[[#This Row],[CandID]],Cands[[CandID]:[Cand_Name]],2,0)</f>
        <v>Oeun Sreynat</v>
      </c>
      <c r="D246" s="1" t="s">
        <v>99</v>
      </c>
      <c r="E246" s="1" t="str">
        <f>_xlfn.IFNA(VLOOKUP(Apps[[#This Row],[PostID]],Posts[[PostID]:[Position]],2,0),"")</f>
        <v>Deputy Marketing Manager (event)</v>
      </c>
      <c r="F246" s="4">
        <v>45324</v>
      </c>
      <c r="G246" s="3" t="s">
        <v>2848</v>
      </c>
      <c r="H246" s="8" t="s">
        <v>3477</v>
      </c>
      <c r="I246" s="4">
        <v>45330</v>
      </c>
      <c r="M246" s="3"/>
    </row>
    <row r="247" spans="1:13" x14ac:dyDescent="0.3">
      <c r="A247" s="1" t="s">
        <v>3099</v>
      </c>
      <c r="B247" s="1" t="s">
        <v>2467</v>
      </c>
      <c r="C247" s="1" t="str">
        <f>VLOOKUP(Apps[[#This Row],[CandID]],Cands[[CandID]:[Cand_Name]],2,0)</f>
        <v>Chhel Leak</v>
      </c>
      <c r="D247" s="1" t="s">
        <v>99</v>
      </c>
      <c r="E247" s="1" t="str">
        <f>_xlfn.IFNA(VLOOKUP(Apps[[#This Row],[PostID]],Posts[[PostID]:[Position]],2,0),"")</f>
        <v>Deputy Marketing Manager (event)</v>
      </c>
      <c r="F247" s="4">
        <v>45324</v>
      </c>
      <c r="G247" s="3" t="s">
        <v>2848</v>
      </c>
      <c r="H247" s="8" t="s">
        <v>3477</v>
      </c>
      <c r="I247" s="4">
        <v>45330</v>
      </c>
      <c r="M247" s="3"/>
    </row>
    <row r="248" spans="1:13" x14ac:dyDescent="0.3">
      <c r="A248" s="1" t="s">
        <v>3100</v>
      </c>
      <c r="B248" s="1" t="s">
        <v>2468</v>
      </c>
      <c r="C248" s="1" t="str">
        <f>VLOOKUP(Apps[[#This Row],[CandID]],Cands[[CandID]:[Cand_Name]],2,0)</f>
        <v>Chea Theta</v>
      </c>
      <c r="E248" s="1" t="str">
        <f>_xlfn.IFNA(VLOOKUP(Apps[[#This Row],[PostID]],Posts[[PostID]:[Position]],2,0),"")</f>
        <v/>
      </c>
      <c r="F248" s="4">
        <v>45324</v>
      </c>
      <c r="G248" s="3" t="s">
        <v>2848</v>
      </c>
      <c r="H248" s="8" t="s">
        <v>3477</v>
      </c>
      <c r="I248" s="4">
        <v>45328</v>
      </c>
      <c r="J248" s="4">
        <v>45337</v>
      </c>
      <c r="K248" s="8" t="s">
        <v>2852</v>
      </c>
      <c r="M248" s="3"/>
    </row>
    <row r="249" spans="1:13" x14ac:dyDescent="0.3">
      <c r="A249" s="1" t="s">
        <v>3101</v>
      </c>
      <c r="B249" s="1" t="s">
        <v>2469</v>
      </c>
      <c r="C249" s="1" t="str">
        <f>VLOOKUP(Apps[[#This Row],[CandID]],Cands[[CandID]:[Cand_Name]],2,0)</f>
        <v>Or Vandy</v>
      </c>
      <c r="D249" s="1" t="s">
        <v>110</v>
      </c>
      <c r="E249" s="1" t="str">
        <f>_xlfn.IFNA(VLOOKUP(Apps[[#This Row],[PostID]],Posts[[PostID]:[Position]],2,0),"")</f>
        <v>Sales After Service Executive</v>
      </c>
      <c r="F249" s="4">
        <v>45327</v>
      </c>
      <c r="G249" s="3" t="s">
        <v>2847</v>
      </c>
      <c r="H249" s="8" t="s">
        <v>3477</v>
      </c>
      <c r="I249" s="4">
        <v>45337</v>
      </c>
      <c r="J249" s="4">
        <v>45349</v>
      </c>
      <c r="M249" s="3"/>
    </row>
    <row r="250" spans="1:13" x14ac:dyDescent="0.3">
      <c r="A250" s="1" t="s">
        <v>3102</v>
      </c>
      <c r="B250" s="1" t="s">
        <v>2470</v>
      </c>
      <c r="C250" s="1" t="str">
        <f>VLOOKUP(Apps[[#This Row],[CandID]],Cands[[CandID]:[Cand_Name]],2,0)</f>
        <v>Pal Sopheaktra</v>
      </c>
      <c r="D250" s="1" t="s">
        <v>100</v>
      </c>
      <c r="E250" s="1" t="str">
        <f>_xlfn.IFNA(VLOOKUP(Apps[[#This Row],[PostID]],Posts[[PostID]:[Position]],2,0),"")</f>
        <v>Sales Director</v>
      </c>
      <c r="F250" s="4">
        <v>45327</v>
      </c>
      <c r="G250" s="3" t="s">
        <v>2848</v>
      </c>
      <c r="H250" s="8" t="s">
        <v>3477</v>
      </c>
      <c r="I250" s="4">
        <v>45337</v>
      </c>
      <c r="J250" s="4">
        <v>45349</v>
      </c>
      <c r="M250" s="3"/>
    </row>
    <row r="251" spans="1:13" x14ac:dyDescent="0.3">
      <c r="A251" s="1" t="s">
        <v>3103</v>
      </c>
      <c r="B251" s="1" t="s">
        <v>2471</v>
      </c>
      <c r="C251" s="1" t="str">
        <f>VLOOKUP(Apps[[#This Row],[CandID]],Cands[[CandID]:[Cand_Name]],2,0)</f>
        <v>Chan Mithona</v>
      </c>
      <c r="D251" s="1" t="s">
        <v>100</v>
      </c>
      <c r="E251" s="1" t="str">
        <f>_xlfn.IFNA(VLOOKUP(Apps[[#This Row],[PostID]],Posts[[PostID]:[Position]],2,0),"")</f>
        <v>Sales Director</v>
      </c>
      <c r="F251" s="4">
        <v>45327</v>
      </c>
      <c r="G251" s="3" t="s">
        <v>2848</v>
      </c>
      <c r="H251" s="8" t="s">
        <v>3477</v>
      </c>
      <c r="I251" s="4">
        <v>45328</v>
      </c>
      <c r="M251" s="3"/>
    </row>
    <row r="252" spans="1:13" x14ac:dyDescent="0.3">
      <c r="A252" s="1" t="s">
        <v>3104</v>
      </c>
      <c r="B252" s="1" t="s">
        <v>2472</v>
      </c>
      <c r="C252" s="1" t="str">
        <f>VLOOKUP(Apps[[#This Row],[CandID]],Cands[[CandID]:[Cand_Name]],2,0)</f>
        <v>Tha Nikasensros</v>
      </c>
      <c r="E252" s="1" t="str">
        <f>_xlfn.IFNA(VLOOKUP(Apps[[#This Row],[PostID]],Posts[[PostID]:[Position]],2,0),"")</f>
        <v/>
      </c>
      <c r="F252" s="4">
        <v>45338</v>
      </c>
      <c r="G252" s="3" t="s">
        <v>2848</v>
      </c>
      <c r="H252" s="8" t="s">
        <v>3477</v>
      </c>
      <c r="I252" s="4">
        <v>45343</v>
      </c>
      <c r="J252" s="4">
        <v>45346</v>
      </c>
      <c r="M252" s="3"/>
    </row>
    <row r="253" spans="1:13" x14ac:dyDescent="0.3">
      <c r="A253" s="1" t="s">
        <v>3105</v>
      </c>
      <c r="B253" s="1" t="s">
        <v>2473</v>
      </c>
      <c r="C253" s="1" t="str">
        <f>VLOOKUP(Apps[[#This Row],[CandID]],Cands[[CandID]:[Cand_Name]],2,0)</f>
        <v>Ham Huynith</v>
      </c>
      <c r="D253" s="1" t="s">
        <v>99</v>
      </c>
      <c r="E253" s="1" t="str">
        <f>_xlfn.IFNA(VLOOKUP(Apps[[#This Row],[PostID]],Posts[[PostID]:[Position]],2,0),"")</f>
        <v>Deputy Marketing Manager (event)</v>
      </c>
      <c r="F253" s="4">
        <v>45338</v>
      </c>
      <c r="G253" s="3" t="s">
        <v>2848</v>
      </c>
      <c r="H253" s="8" t="s">
        <v>3477</v>
      </c>
      <c r="I253" s="4">
        <v>45343</v>
      </c>
      <c r="M253" s="3"/>
    </row>
    <row r="254" spans="1:13" x14ac:dyDescent="0.3">
      <c r="A254" s="1" t="s">
        <v>3106</v>
      </c>
      <c r="B254" s="1" t="s">
        <v>2474</v>
      </c>
      <c r="C254" s="1" t="str">
        <f>VLOOKUP(Apps[[#This Row],[CandID]],Cands[[CandID]:[Cand_Name]],2,0)</f>
        <v>Om Potthoeun</v>
      </c>
      <c r="D254" s="1" t="s">
        <v>94</v>
      </c>
      <c r="E254" s="1" t="str">
        <f>_xlfn.IFNA(VLOOKUP(Apps[[#This Row],[PostID]],Posts[[PostID]:[Position]],2,0),"")</f>
        <v>Farm Manager</v>
      </c>
      <c r="F254" s="4">
        <v>45342</v>
      </c>
      <c r="G254" s="3" t="s">
        <v>2845</v>
      </c>
      <c r="H254" s="8" t="s">
        <v>3477</v>
      </c>
      <c r="I254" s="4">
        <v>45343</v>
      </c>
      <c r="M254" s="3"/>
    </row>
    <row r="255" spans="1:13" x14ac:dyDescent="0.3">
      <c r="A255" s="1" t="s">
        <v>3107</v>
      </c>
      <c r="B255" s="1" t="s">
        <v>2475</v>
      </c>
      <c r="C255" s="1" t="str">
        <f>VLOOKUP(Apps[[#This Row],[CandID]],Cands[[CandID]:[Cand_Name]],2,0)</f>
        <v>Chhun Mardy</v>
      </c>
      <c r="D255" s="1" t="s">
        <v>112</v>
      </c>
      <c r="E255" s="1" t="str">
        <f>_xlfn.IFNA(VLOOKUP(Apps[[#This Row],[PostID]],Posts[[PostID]:[Position]],2,0),"")</f>
        <v>Drone Specialist</v>
      </c>
      <c r="F255" s="4">
        <v>45342</v>
      </c>
      <c r="G255" s="3" t="s">
        <v>2845</v>
      </c>
      <c r="H255" s="8" t="s">
        <v>3477</v>
      </c>
      <c r="I255" s="4">
        <v>45343</v>
      </c>
      <c r="M255" s="3"/>
    </row>
    <row r="256" spans="1:13" x14ac:dyDescent="0.3">
      <c r="A256" s="1" t="s">
        <v>3108</v>
      </c>
      <c r="B256" s="1" t="s">
        <v>2476</v>
      </c>
      <c r="C256" s="1" t="str">
        <f>VLOOKUP(Apps[[#This Row],[CandID]],Cands[[CandID]:[Cand_Name]],2,0)</f>
        <v>Mot Menghouy</v>
      </c>
      <c r="D256" s="1" t="s">
        <v>99</v>
      </c>
      <c r="E256" s="1" t="str">
        <f>_xlfn.IFNA(VLOOKUP(Apps[[#This Row],[PostID]],Posts[[PostID]:[Position]],2,0),"")</f>
        <v>Deputy Marketing Manager (event)</v>
      </c>
      <c r="F256" s="4">
        <v>45342</v>
      </c>
      <c r="G256" s="3" t="s">
        <v>2848</v>
      </c>
      <c r="H256" s="8" t="s">
        <v>3477</v>
      </c>
      <c r="I256" s="4">
        <v>45346</v>
      </c>
      <c r="M256" s="3"/>
    </row>
    <row r="257" spans="1:16" x14ac:dyDescent="0.3">
      <c r="A257" s="1" t="s">
        <v>3109</v>
      </c>
      <c r="B257" s="1" t="s">
        <v>2477</v>
      </c>
      <c r="C257" s="1" t="str">
        <f>VLOOKUP(Apps[[#This Row],[CandID]],Cands[[CandID]:[Cand_Name]],2,0)</f>
        <v>To Lalin</v>
      </c>
      <c r="D257" s="1" t="s">
        <v>99</v>
      </c>
      <c r="E257" s="1" t="str">
        <f>_xlfn.IFNA(VLOOKUP(Apps[[#This Row],[PostID]],Posts[[PostID]:[Position]],2,0),"")</f>
        <v>Deputy Marketing Manager (event)</v>
      </c>
      <c r="F257" s="4">
        <v>45342</v>
      </c>
      <c r="G257" s="3" t="s">
        <v>2848</v>
      </c>
      <c r="H257" s="8" t="s">
        <v>3477</v>
      </c>
      <c r="I257" s="4">
        <v>45346</v>
      </c>
      <c r="M257" s="3"/>
    </row>
    <row r="258" spans="1:16" x14ac:dyDescent="0.3">
      <c r="A258" s="1" t="s">
        <v>3110</v>
      </c>
      <c r="B258" s="1" t="s">
        <v>2478</v>
      </c>
      <c r="C258" s="1" t="str">
        <f>VLOOKUP(Apps[[#This Row],[CandID]],Cands[[CandID]:[Cand_Name]],2,0)</f>
        <v>Huot Bory</v>
      </c>
      <c r="E258" s="1" t="str">
        <f>_xlfn.IFNA(VLOOKUP(Apps[[#This Row],[PostID]],Posts[[PostID]:[Position]],2,0),"")</f>
        <v/>
      </c>
      <c r="F258" s="4">
        <v>45342</v>
      </c>
      <c r="G258" s="3" t="s">
        <v>2848</v>
      </c>
      <c r="H258" s="8" t="s">
        <v>3477</v>
      </c>
      <c r="I258" s="4">
        <v>45346</v>
      </c>
      <c r="M258" s="3"/>
    </row>
    <row r="259" spans="1:16" x14ac:dyDescent="0.3">
      <c r="A259" s="1" t="s">
        <v>3111</v>
      </c>
      <c r="B259" s="1" t="s">
        <v>2479</v>
      </c>
      <c r="C259" s="1" t="str">
        <f>VLOOKUP(Apps[[#This Row],[CandID]],Cands[[CandID]:[Cand_Name]],2,0)</f>
        <v>Kim Bunleap</v>
      </c>
      <c r="E259" s="1" t="str">
        <f>_xlfn.IFNA(VLOOKUP(Apps[[#This Row],[PostID]],Posts[[PostID]:[Position]],2,0),"")</f>
        <v/>
      </c>
      <c r="F259" s="4">
        <v>45342</v>
      </c>
      <c r="G259" s="3" t="s">
        <v>2848</v>
      </c>
      <c r="H259" s="8" t="s">
        <v>3477</v>
      </c>
      <c r="I259" s="4">
        <v>45343</v>
      </c>
      <c r="J259" s="4">
        <v>45346</v>
      </c>
      <c r="M259" s="3"/>
    </row>
    <row r="260" spans="1:16" x14ac:dyDescent="0.3">
      <c r="A260" s="1" t="s">
        <v>3112</v>
      </c>
      <c r="B260" s="1" t="s">
        <v>2480</v>
      </c>
      <c r="C260" s="1" t="str">
        <f>VLOOKUP(Apps[[#This Row],[CandID]],Cands[[CandID]:[Cand_Name]],2,0)</f>
        <v>Phat Lyhong</v>
      </c>
      <c r="D260" s="1" t="s">
        <v>100</v>
      </c>
      <c r="E260" s="1" t="str">
        <f>_xlfn.IFNA(VLOOKUP(Apps[[#This Row],[PostID]],Posts[[PostID]:[Position]],2,0),"")</f>
        <v>Sales Director</v>
      </c>
      <c r="F260" s="4">
        <v>45342</v>
      </c>
      <c r="G260" s="3" t="s">
        <v>2845</v>
      </c>
      <c r="H260" s="8" t="s">
        <v>3477</v>
      </c>
      <c r="I260" s="4">
        <v>45346</v>
      </c>
      <c r="M260" s="3"/>
    </row>
    <row r="261" spans="1:16" x14ac:dyDescent="0.3">
      <c r="A261" s="1" t="s">
        <v>3113</v>
      </c>
      <c r="B261" s="1" t="s">
        <v>2481</v>
      </c>
      <c r="C261" s="1" t="str">
        <f>VLOOKUP(Apps[[#This Row],[CandID]],Cands[[CandID]:[Cand_Name]],2,0)</f>
        <v>Pok Akara</v>
      </c>
      <c r="D261" s="1" t="s">
        <v>93</v>
      </c>
      <c r="E261" s="1" t="str">
        <f>_xlfn.IFNA(VLOOKUP(Apps[[#This Row],[PostID]],Posts[[PostID]:[Position]],2,0),"")</f>
        <v>Finance Director</v>
      </c>
      <c r="F261" s="4">
        <v>45343</v>
      </c>
      <c r="G261" s="3" t="s">
        <v>2846</v>
      </c>
      <c r="H261" s="8" t="s">
        <v>3477</v>
      </c>
      <c r="I261" s="4">
        <v>45348</v>
      </c>
      <c r="J261" s="4">
        <v>45358</v>
      </c>
      <c r="K261" s="8" t="s">
        <v>3521</v>
      </c>
      <c r="M261" s="3"/>
      <c r="N261" s="3" t="s">
        <v>3477</v>
      </c>
    </row>
    <row r="262" spans="1:16" x14ac:dyDescent="0.3">
      <c r="A262" s="1" t="s">
        <v>3114</v>
      </c>
      <c r="B262" s="1" t="s">
        <v>2482</v>
      </c>
      <c r="C262" s="1" t="str">
        <f>VLOOKUP(Apps[[#This Row],[CandID]],Cands[[CandID]:[Cand_Name]],2,0)</f>
        <v>Phoeurn Tola</v>
      </c>
      <c r="D262" s="1" t="s">
        <v>100</v>
      </c>
      <c r="E262" s="1" t="str">
        <f>_xlfn.IFNA(VLOOKUP(Apps[[#This Row],[PostID]],Posts[[PostID]:[Position]],2,0),"")</f>
        <v>Sales Director</v>
      </c>
      <c r="F262" s="4">
        <v>45343</v>
      </c>
      <c r="G262" s="3" t="s">
        <v>2845</v>
      </c>
      <c r="H262" s="8" t="s">
        <v>3477</v>
      </c>
      <c r="I262" s="4">
        <v>45345</v>
      </c>
      <c r="M262" s="3"/>
    </row>
    <row r="263" spans="1:16" x14ac:dyDescent="0.3">
      <c r="A263" s="1" t="s">
        <v>3115</v>
      </c>
      <c r="B263" s="1" t="s">
        <v>2483</v>
      </c>
      <c r="C263" s="1" t="str">
        <f>VLOOKUP(Apps[[#This Row],[CandID]],Cands[[CandID]:[Cand_Name]],2,0)</f>
        <v>Yean Sokheang</v>
      </c>
      <c r="D263" s="1" t="s">
        <v>106</v>
      </c>
      <c r="E263" s="1" t="str">
        <f>_xlfn.IFNA(VLOOKUP(Apps[[#This Row],[PostID]],Posts[[PostID]:[Position]],2,0),"")</f>
        <v>Senior Accounting Officer</v>
      </c>
      <c r="F263" s="4">
        <v>45344</v>
      </c>
      <c r="G263" s="3" t="s">
        <v>2848</v>
      </c>
      <c r="H263" s="8" t="s">
        <v>3477</v>
      </c>
      <c r="I263" s="4">
        <v>45349</v>
      </c>
      <c r="M263" s="3"/>
    </row>
    <row r="264" spans="1:16" x14ac:dyDescent="0.3">
      <c r="A264" s="1" t="s">
        <v>3116</v>
      </c>
      <c r="B264" s="1" t="s">
        <v>2484</v>
      </c>
      <c r="C264" s="1" t="str">
        <f>VLOOKUP(Apps[[#This Row],[CandID]],Cands[[CandID]:[Cand_Name]],2,0)</f>
        <v>Chhil Chanthou</v>
      </c>
      <c r="D264" s="1" t="s">
        <v>106</v>
      </c>
      <c r="E264" s="1" t="str">
        <f>_xlfn.IFNA(VLOOKUP(Apps[[#This Row],[PostID]],Posts[[PostID]:[Position]],2,0),"")</f>
        <v>Senior Accounting Officer</v>
      </c>
      <c r="F264" s="4">
        <v>45344</v>
      </c>
      <c r="G264" s="3" t="s">
        <v>2847</v>
      </c>
      <c r="H264" s="8" t="s">
        <v>3477</v>
      </c>
      <c r="I264" s="4">
        <v>45349</v>
      </c>
      <c r="J264" s="4">
        <v>45366</v>
      </c>
      <c r="M264" s="3"/>
      <c r="O264" s="5">
        <v>1350</v>
      </c>
      <c r="P264" s="5">
        <v>1550</v>
      </c>
    </row>
    <row r="265" spans="1:16" x14ac:dyDescent="0.3">
      <c r="A265" s="1" t="s">
        <v>3117</v>
      </c>
      <c r="B265" s="1" t="s">
        <v>2485</v>
      </c>
      <c r="C265" s="1" t="str">
        <f>VLOOKUP(Apps[[#This Row],[CandID]],Cands[[CandID]:[Cand_Name]],2,0)</f>
        <v>Sun Vansot</v>
      </c>
      <c r="D265" s="1" t="s">
        <v>106</v>
      </c>
      <c r="E265" s="1" t="str">
        <f>_xlfn.IFNA(VLOOKUP(Apps[[#This Row],[PostID]],Posts[[PostID]:[Position]],2,0),"")</f>
        <v>Senior Accounting Officer</v>
      </c>
      <c r="F265" s="4">
        <v>45344</v>
      </c>
      <c r="G265" s="3" t="s">
        <v>2848</v>
      </c>
      <c r="H265" s="8" t="s">
        <v>3477</v>
      </c>
      <c r="I265" s="4">
        <v>45349</v>
      </c>
      <c r="M265" s="3"/>
    </row>
    <row r="266" spans="1:16" x14ac:dyDescent="0.3">
      <c r="A266" s="1" t="s">
        <v>3118</v>
      </c>
      <c r="B266" s="1" t="s">
        <v>2486</v>
      </c>
      <c r="C266" s="1" t="str">
        <f>VLOOKUP(Apps[[#This Row],[CandID]],Cands[[CandID]:[Cand_Name]],2,0)</f>
        <v>Kong Sotheany</v>
      </c>
      <c r="D266" s="1" t="s">
        <v>99</v>
      </c>
      <c r="E266" s="1" t="str">
        <f>_xlfn.IFNA(VLOOKUP(Apps[[#This Row],[PostID]],Posts[[PostID]:[Position]],2,0),"")</f>
        <v>Deputy Marketing Manager (event)</v>
      </c>
      <c r="F266" s="4">
        <v>45344</v>
      </c>
      <c r="G266" s="3" t="s">
        <v>2848</v>
      </c>
      <c r="H266" s="8" t="s">
        <v>3477</v>
      </c>
      <c r="I266" s="4">
        <v>45345</v>
      </c>
      <c r="M266" s="3"/>
    </row>
    <row r="267" spans="1:16" x14ac:dyDescent="0.3">
      <c r="A267" s="1" t="s">
        <v>3119</v>
      </c>
      <c r="B267" s="1" t="s">
        <v>2487</v>
      </c>
      <c r="C267" s="1" t="str">
        <f>VLOOKUP(Apps[[#This Row],[CandID]],Cands[[CandID]:[Cand_Name]],2,0)</f>
        <v>Yann Thida</v>
      </c>
      <c r="E267" s="1" t="str">
        <f>_xlfn.IFNA(VLOOKUP(Apps[[#This Row],[PostID]],Posts[[PostID]:[Position]],2,0),"")</f>
        <v/>
      </c>
      <c r="F267" s="4">
        <v>45344</v>
      </c>
      <c r="G267" s="3" t="s">
        <v>2845</v>
      </c>
      <c r="H267" s="8" t="s">
        <v>3477</v>
      </c>
      <c r="I267" s="4">
        <v>45345</v>
      </c>
      <c r="M267" s="3"/>
    </row>
    <row r="268" spans="1:16" x14ac:dyDescent="0.3">
      <c r="A268" s="1" t="s">
        <v>3120</v>
      </c>
      <c r="B268" s="1" t="s">
        <v>2488</v>
      </c>
      <c r="C268" s="1" t="str">
        <f>VLOOKUP(Apps[[#This Row],[CandID]],Cands[[CandID]:[Cand_Name]],2,0)</f>
        <v>Nhip Daet</v>
      </c>
      <c r="D268" s="1" t="s">
        <v>115</v>
      </c>
      <c r="E268" s="1" t="str">
        <f>_xlfn.IFNA(VLOOKUP(Apps[[#This Row],[PostID]],Posts[[PostID]:[Position]],2,0),"")</f>
        <v>Admin and Accounting Officer</v>
      </c>
      <c r="F268" s="4">
        <v>45344</v>
      </c>
      <c r="G268" s="3" t="s">
        <v>2845</v>
      </c>
      <c r="M268" s="3"/>
    </row>
    <row r="269" spans="1:16" x14ac:dyDescent="0.3">
      <c r="A269" s="1" t="s">
        <v>3121</v>
      </c>
      <c r="B269" s="1" t="s">
        <v>2489</v>
      </c>
      <c r="C269" s="1" t="str">
        <f>VLOOKUP(Apps[[#This Row],[CandID]],Cands[[CandID]:[Cand_Name]],2,0)</f>
        <v>Amnath Thida</v>
      </c>
      <c r="E269" s="1" t="str">
        <f>_xlfn.IFNA(VLOOKUP(Apps[[#This Row],[PostID]],Posts[[PostID]:[Position]],2,0),"")</f>
        <v/>
      </c>
      <c r="F269" s="4">
        <v>45345</v>
      </c>
      <c r="G269" s="3" t="s">
        <v>2846</v>
      </c>
      <c r="H269" s="8" t="s">
        <v>3477</v>
      </c>
      <c r="I269" s="4">
        <v>45348</v>
      </c>
      <c r="J269" s="4">
        <v>45358</v>
      </c>
      <c r="K269" s="8" t="s">
        <v>2852</v>
      </c>
      <c r="M269" s="3"/>
      <c r="O269" s="5">
        <v>3300</v>
      </c>
      <c r="P269" s="5">
        <v>3800</v>
      </c>
    </row>
    <row r="270" spans="1:16" x14ac:dyDescent="0.3">
      <c r="A270" s="1" t="s">
        <v>3122</v>
      </c>
      <c r="B270" s="1" t="s">
        <v>2490</v>
      </c>
      <c r="C270" s="1" t="str">
        <f>VLOOKUP(Apps[[#This Row],[CandID]],Cands[[CandID]:[Cand_Name]],2,0)</f>
        <v>Hong Ang</v>
      </c>
      <c r="D270" s="1" t="s">
        <v>93</v>
      </c>
      <c r="E270" s="1" t="str">
        <f>_xlfn.IFNA(VLOOKUP(Apps[[#This Row],[PostID]],Posts[[PostID]:[Position]],2,0),"")</f>
        <v>Finance Director</v>
      </c>
      <c r="F270" s="4">
        <v>45345</v>
      </c>
      <c r="G270" s="3" t="s">
        <v>2846</v>
      </c>
      <c r="H270" s="8" t="s">
        <v>3477</v>
      </c>
      <c r="I270" s="4">
        <v>45348</v>
      </c>
      <c r="J270" s="4">
        <v>45358</v>
      </c>
      <c r="K270" s="8" t="s">
        <v>3521</v>
      </c>
      <c r="M270" s="3"/>
      <c r="N270" s="3" t="s">
        <v>3477</v>
      </c>
    </row>
    <row r="271" spans="1:16" x14ac:dyDescent="0.3">
      <c r="A271" s="1" t="s">
        <v>3123</v>
      </c>
      <c r="B271" s="1" t="s">
        <v>2491</v>
      </c>
      <c r="C271" s="1" t="str">
        <f>VLOOKUP(Apps[[#This Row],[CandID]],Cands[[CandID]:[Cand_Name]],2,0)</f>
        <v>Seang Mary</v>
      </c>
      <c r="D271" s="1" t="s">
        <v>100</v>
      </c>
      <c r="E271" s="1" t="str">
        <f>_xlfn.IFNA(VLOOKUP(Apps[[#This Row],[PostID]],Posts[[PostID]:[Position]],2,0),"")</f>
        <v>Sales Director</v>
      </c>
      <c r="F271" s="4">
        <v>45345</v>
      </c>
      <c r="G271" s="3" t="s">
        <v>2848</v>
      </c>
      <c r="M271" s="3"/>
    </row>
    <row r="272" spans="1:16" x14ac:dyDescent="0.3">
      <c r="A272" s="1" t="s">
        <v>3124</v>
      </c>
      <c r="B272" s="1" t="s">
        <v>2492</v>
      </c>
      <c r="C272" s="1" t="str">
        <f>VLOOKUP(Apps[[#This Row],[CandID]],Cands[[CandID]:[Cand_Name]],2,0)</f>
        <v>Ngon Nareth</v>
      </c>
      <c r="D272" s="1" t="s">
        <v>99</v>
      </c>
      <c r="E272" s="1" t="str">
        <f>_xlfn.IFNA(VLOOKUP(Apps[[#This Row],[PostID]],Posts[[PostID]:[Position]],2,0),"")</f>
        <v>Deputy Marketing Manager (event)</v>
      </c>
      <c r="F272" s="4">
        <v>45345</v>
      </c>
      <c r="G272" s="3" t="s">
        <v>2848</v>
      </c>
      <c r="M272" s="3"/>
    </row>
    <row r="273" spans="1:16" x14ac:dyDescent="0.3">
      <c r="A273" s="1" t="s">
        <v>3125</v>
      </c>
      <c r="B273" s="1" t="s">
        <v>2493</v>
      </c>
      <c r="C273" s="1" t="str">
        <f>VLOOKUP(Apps[[#This Row],[CandID]],Cands[[CandID]:[Cand_Name]],2,0)</f>
        <v>Hun Serey</v>
      </c>
      <c r="D273" s="1" t="s">
        <v>126</v>
      </c>
      <c r="E273" s="1" t="str">
        <f>_xlfn.IFNA(VLOOKUP(Apps[[#This Row],[PostID]],Posts[[PostID]:[Position]],2,0),"")</f>
        <v>Architect</v>
      </c>
      <c r="F273" s="4">
        <v>45346</v>
      </c>
      <c r="G273" s="3" t="s">
        <v>2846</v>
      </c>
      <c r="M273" s="3"/>
    </row>
    <row r="274" spans="1:16" x14ac:dyDescent="0.3">
      <c r="A274" s="1" t="s">
        <v>3126</v>
      </c>
      <c r="B274" s="1" t="s">
        <v>2494</v>
      </c>
      <c r="C274" s="1" t="str">
        <f>VLOOKUP(Apps[[#This Row],[CandID]],Cands[[CandID]:[Cand_Name]],2,0)</f>
        <v>You Yeklorng</v>
      </c>
      <c r="D274" s="1" t="s">
        <v>106</v>
      </c>
      <c r="E274" s="1" t="str">
        <f>_xlfn.IFNA(VLOOKUP(Apps[[#This Row],[PostID]],Posts[[PostID]:[Position]],2,0),"")</f>
        <v>Senior Accounting Officer</v>
      </c>
      <c r="F274" s="4">
        <v>45348</v>
      </c>
      <c r="G274" s="3" t="s">
        <v>2848</v>
      </c>
      <c r="M274" s="3"/>
    </row>
    <row r="275" spans="1:16" x14ac:dyDescent="0.3">
      <c r="A275" s="1" t="s">
        <v>3127</v>
      </c>
      <c r="B275" s="1" t="s">
        <v>2495</v>
      </c>
      <c r="C275" s="1" t="str">
        <f>VLOOKUP(Apps[[#This Row],[CandID]],Cands[[CandID]:[Cand_Name]],2,0)</f>
        <v>Uk Savry</v>
      </c>
      <c r="D275" s="1" t="s">
        <v>115</v>
      </c>
      <c r="E275" s="1" t="str">
        <f>_xlfn.IFNA(VLOOKUP(Apps[[#This Row],[PostID]],Posts[[PostID]:[Position]],2,0),"")</f>
        <v>Admin and Accounting Officer</v>
      </c>
      <c r="F275" s="4">
        <v>45348</v>
      </c>
      <c r="G275" s="3" t="s">
        <v>2845</v>
      </c>
      <c r="H275" s="8" t="s">
        <v>3477</v>
      </c>
      <c r="I275" s="4">
        <v>45349</v>
      </c>
      <c r="K275" s="8" t="s">
        <v>3521</v>
      </c>
      <c r="M275" s="3"/>
      <c r="N275" s="3" t="s">
        <v>3477</v>
      </c>
    </row>
    <row r="276" spans="1:16" x14ac:dyDescent="0.3">
      <c r="A276" s="1" t="s">
        <v>3128</v>
      </c>
      <c r="B276" s="1" t="s">
        <v>2496</v>
      </c>
      <c r="C276" s="1" t="str">
        <f>VLOOKUP(Apps[[#This Row],[CandID]],Cands[[CandID]:[Cand_Name]],2,0)</f>
        <v>Cheang Neang</v>
      </c>
      <c r="D276" s="1" t="s">
        <v>126</v>
      </c>
      <c r="E276" s="1" t="str">
        <f>_xlfn.IFNA(VLOOKUP(Apps[[#This Row],[PostID]],Posts[[PostID]:[Position]],2,0),"")</f>
        <v>Architect</v>
      </c>
      <c r="F276" s="4">
        <v>45348</v>
      </c>
      <c r="G276" s="3" t="s">
        <v>2848</v>
      </c>
      <c r="H276" s="8" t="s">
        <v>3477</v>
      </c>
      <c r="I276" s="4">
        <v>45351</v>
      </c>
      <c r="K276" s="8" t="s">
        <v>3521</v>
      </c>
      <c r="M276" s="3"/>
      <c r="N276" s="3" t="s">
        <v>3477</v>
      </c>
    </row>
    <row r="277" spans="1:16" x14ac:dyDescent="0.3">
      <c r="A277" s="1" t="s">
        <v>3129</v>
      </c>
      <c r="B277" s="1" t="s">
        <v>2497</v>
      </c>
      <c r="C277" s="1" t="str">
        <f>VLOOKUP(Apps[[#This Row],[CandID]],Cands[[CandID]:[Cand_Name]],2,0)</f>
        <v>Iev Raksmey</v>
      </c>
      <c r="D277" s="1" t="s">
        <v>106</v>
      </c>
      <c r="E277" s="1" t="str">
        <f>_xlfn.IFNA(VLOOKUP(Apps[[#This Row],[PostID]],Posts[[PostID]:[Position]],2,0),"")</f>
        <v>Senior Accounting Officer</v>
      </c>
      <c r="F277" s="4">
        <v>45348</v>
      </c>
      <c r="G277" s="3" t="s">
        <v>3539</v>
      </c>
      <c r="H277" s="8" t="s">
        <v>3477</v>
      </c>
      <c r="I277" s="4">
        <v>45355</v>
      </c>
      <c r="K277" s="8" t="s">
        <v>3521</v>
      </c>
      <c r="M277" s="3"/>
      <c r="N277" s="3" t="s">
        <v>3477</v>
      </c>
    </row>
    <row r="278" spans="1:16" x14ac:dyDescent="0.3">
      <c r="A278" s="1" t="s">
        <v>3130</v>
      </c>
      <c r="B278" s="1" t="s">
        <v>2498</v>
      </c>
      <c r="C278" s="1" t="str">
        <f>VLOOKUP(Apps[[#This Row],[CandID]],Cands[[CandID]:[Cand_Name]],2,0)</f>
        <v>Khiev Sokhawatey</v>
      </c>
      <c r="D278" s="1" t="s">
        <v>93</v>
      </c>
      <c r="E278" s="1" t="str">
        <f>_xlfn.IFNA(VLOOKUP(Apps[[#This Row],[PostID]],Posts[[PostID]:[Position]],2,0),"")</f>
        <v>Finance Director</v>
      </c>
      <c r="F278" s="4">
        <v>45348</v>
      </c>
      <c r="G278" s="3" t="s">
        <v>3539</v>
      </c>
      <c r="M278" s="3"/>
    </row>
    <row r="279" spans="1:16" x14ac:dyDescent="0.3">
      <c r="A279" s="1" t="s">
        <v>3131</v>
      </c>
      <c r="B279" s="1" t="s">
        <v>2499</v>
      </c>
      <c r="C279" s="1" t="str">
        <f>VLOOKUP(Apps[[#This Row],[CandID]],Cands[[CandID]:[Cand_Name]],2,0)</f>
        <v>San Vannara</v>
      </c>
      <c r="D279" s="1" t="s">
        <v>86</v>
      </c>
      <c r="E279" s="1" t="str">
        <f>_xlfn.IFNA(VLOOKUP(Apps[[#This Row],[PostID]],Posts[[PostID]:[Position]],2,0),"")</f>
        <v>Factory Supervisor</v>
      </c>
      <c r="F279" s="4">
        <v>45349</v>
      </c>
      <c r="G279" s="3" t="s">
        <v>2846</v>
      </c>
      <c r="M279" s="3"/>
    </row>
    <row r="280" spans="1:16" x14ac:dyDescent="0.3">
      <c r="A280" s="1" t="s">
        <v>3132</v>
      </c>
      <c r="B280" s="1" t="s">
        <v>2500</v>
      </c>
      <c r="C280" s="1" t="str">
        <f>VLOOKUP(Apps[[#This Row],[CandID]],Cands[[CandID]:[Cand_Name]],2,0)</f>
        <v>Sri Ayyappa</v>
      </c>
      <c r="D280" s="1" t="s">
        <v>94</v>
      </c>
      <c r="E280" s="1" t="str">
        <f>_xlfn.IFNA(VLOOKUP(Apps[[#This Row],[PostID]],Posts[[PostID]:[Position]],2,0),"")</f>
        <v>Farm Manager</v>
      </c>
      <c r="F280" s="4">
        <v>45349</v>
      </c>
      <c r="G280" s="3" t="s">
        <v>2848</v>
      </c>
      <c r="M280" s="3"/>
    </row>
    <row r="281" spans="1:16" x14ac:dyDescent="0.3">
      <c r="A281" s="1" t="s">
        <v>3133</v>
      </c>
      <c r="B281" s="1" t="s">
        <v>2501</v>
      </c>
      <c r="C281" s="1" t="str">
        <f>VLOOKUP(Apps[[#This Row],[CandID]],Cands[[CandID]:[Cand_Name]],2,0)</f>
        <v>Nov Noeun</v>
      </c>
      <c r="D281" s="1" t="s">
        <v>90</v>
      </c>
      <c r="E281" s="1" t="str">
        <f>_xlfn.IFNA(VLOOKUP(Apps[[#This Row],[PostID]],Posts[[PostID]:[Position]],2,0),"")</f>
        <v>General Manager</v>
      </c>
      <c r="F281" s="4">
        <v>45349</v>
      </c>
      <c r="G281" s="3" t="s">
        <v>2845</v>
      </c>
      <c r="H281" s="8" t="s">
        <v>3477</v>
      </c>
      <c r="I281" s="4">
        <v>45349</v>
      </c>
      <c r="K281" s="8" t="s">
        <v>3521</v>
      </c>
      <c r="M281" s="3"/>
      <c r="N281" s="3" t="s">
        <v>3477</v>
      </c>
      <c r="O281" s="5">
        <v>1300</v>
      </c>
      <c r="P281" s="5">
        <v>1300</v>
      </c>
    </row>
    <row r="282" spans="1:16" x14ac:dyDescent="0.3">
      <c r="A282" s="1" t="s">
        <v>3134</v>
      </c>
      <c r="B282" s="1" t="s">
        <v>2502</v>
      </c>
      <c r="C282" s="1" t="str">
        <f>VLOOKUP(Apps[[#This Row],[CandID]],Cands[[CandID]:[Cand_Name]],2,0)</f>
        <v>Chin Nara</v>
      </c>
      <c r="D282" s="1" t="s">
        <v>106</v>
      </c>
      <c r="E282" s="1" t="str">
        <f>_xlfn.IFNA(VLOOKUP(Apps[[#This Row],[PostID]],Posts[[PostID]:[Position]],2,0),"")</f>
        <v>Senior Accounting Officer</v>
      </c>
      <c r="F282" s="4">
        <v>45350</v>
      </c>
      <c r="G282" s="3" t="s">
        <v>3539</v>
      </c>
      <c r="H282" s="8" t="s">
        <v>3475</v>
      </c>
      <c r="K282" s="8" t="s">
        <v>3521</v>
      </c>
      <c r="M282" s="3"/>
    </row>
    <row r="283" spans="1:16" x14ac:dyDescent="0.3">
      <c r="A283" s="1" t="s">
        <v>3135</v>
      </c>
      <c r="B283" s="1" t="s">
        <v>2503</v>
      </c>
      <c r="C283" s="1" t="str">
        <f>VLOOKUP(Apps[[#This Row],[CandID]],Cands[[CandID]:[Cand_Name]],2,0)</f>
        <v>Tep Sokna</v>
      </c>
      <c r="D283" s="1" t="s">
        <v>94</v>
      </c>
      <c r="E283" s="1" t="str">
        <f>_xlfn.IFNA(VLOOKUP(Apps[[#This Row],[PostID]],Posts[[PostID]:[Position]],2,0),"")</f>
        <v>Farm Manager</v>
      </c>
      <c r="F283" s="4">
        <v>45350</v>
      </c>
      <c r="G283" s="3" t="s">
        <v>2848</v>
      </c>
      <c r="M283" s="3"/>
    </row>
    <row r="284" spans="1:16" x14ac:dyDescent="0.3">
      <c r="A284" s="1" t="s">
        <v>3136</v>
      </c>
      <c r="B284" s="1" t="s">
        <v>2504</v>
      </c>
      <c r="C284" s="1" t="str">
        <f>VLOOKUP(Apps[[#This Row],[CandID]],Cands[[CandID]:[Cand_Name]],2,0)</f>
        <v>Kun Vathana</v>
      </c>
      <c r="D284" s="1" t="s">
        <v>94</v>
      </c>
      <c r="E284" s="1" t="str">
        <f>_xlfn.IFNA(VLOOKUP(Apps[[#This Row],[PostID]],Posts[[PostID]:[Position]],2,0),"")</f>
        <v>Farm Manager</v>
      </c>
      <c r="F284" s="4">
        <v>45350</v>
      </c>
      <c r="G284" s="3" t="s">
        <v>2848</v>
      </c>
      <c r="M284" s="3"/>
    </row>
    <row r="285" spans="1:16" x14ac:dyDescent="0.3">
      <c r="A285" s="1" t="s">
        <v>3137</v>
      </c>
      <c r="B285" s="1" t="s">
        <v>2505</v>
      </c>
      <c r="C285" s="1" t="str">
        <f>VLOOKUP(Apps[[#This Row],[CandID]],Cands[[CandID]:[Cand_Name]],2,0)</f>
        <v>Uk Sarach</v>
      </c>
      <c r="D285" s="1" t="s">
        <v>99</v>
      </c>
      <c r="E285" s="1" t="str">
        <f>_xlfn.IFNA(VLOOKUP(Apps[[#This Row],[PostID]],Posts[[PostID]:[Position]],2,0),"")</f>
        <v>Deputy Marketing Manager (event)</v>
      </c>
      <c r="F285" s="4">
        <v>45350</v>
      </c>
      <c r="G285" s="3" t="s">
        <v>2848</v>
      </c>
      <c r="M285" s="3"/>
    </row>
    <row r="286" spans="1:16" x14ac:dyDescent="0.3">
      <c r="A286" s="1" t="s">
        <v>3138</v>
      </c>
      <c r="B286" s="1" t="s">
        <v>2506</v>
      </c>
      <c r="C286" s="1" t="str">
        <f>VLOOKUP(Apps[[#This Row],[CandID]],Cands[[CandID]:[Cand_Name]],2,0)</f>
        <v>Kray Sophorn</v>
      </c>
      <c r="D286" s="1" t="s">
        <v>86</v>
      </c>
      <c r="E286" s="1" t="str">
        <f>_xlfn.IFNA(VLOOKUP(Apps[[#This Row],[PostID]],Posts[[PostID]:[Position]],2,0),"")</f>
        <v>Factory Supervisor</v>
      </c>
      <c r="F286" s="4">
        <v>45351</v>
      </c>
      <c r="G286" s="3" t="s">
        <v>2846</v>
      </c>
      <c r="H286" s="8" t="s">
        <v>3475</v>
      </c>
      <c r="K286" s="8" t="s">
        <v>3521</v>
      </c>
      <c r="M286" s="3"/>
    </row>
    <row r="287" spans="1:16" x14ac:dyDescent="0.3">
      <c r="A287" s="1" t="s">
        <v>3139</v>
      </c>
      <c r="B287" s="1" t="s">
        <v>2507</v>
      </c>
      <c r="C287" s="1" t="str">
        <f>VLOOKUP(Apps[[#This Row],[CandID]],Cands[[CandID]:[Cand_Name]],2,0)</f>
        <v>Sim Buna</v>
      </c>
      <c r="D287" s="1" t="s">
        <v>100</v>
      </c>
      <c r="E287" s="1" t="str">
        <f>_xlfn.IFNA(VLOOKUP(Apps[[#This Row],[PostID]],Posts[[PostID]:[Position]],2,0),"")</f>
        <v>Sales Director</v>
      </c>
      <c r="F287" s="4">
        <v>45351</v>
      </c>
      <c r="G287" s="3" t="s">
        <v>2846</v>
      </c>
      <c r="H287" s="8" t="s">
        <v>3475</v>
      </c>
      <c r="K287" s="8" t="s">
        <v>3521</v>
      </c>
      <c r="M287" s="3"/>
    </row>
    <row r="288" spans="1:16" x14ac:dyDescent="0.3">
      <c r="A288" s="1" t="s">
        <v>3140</v>
      </c>
      <c r="B288" s="1" t="s">
        <v>2508</v>
      </c>
      <c r="C288" s="1" t="str">
        <f>VLOOKUP(Apps[[#This Row],[CandID]],Cands[[CandID]:[Cand_Name]],2,0)</f>
        <v>Hann Khan</v>
      </c>
      <c r="D288" s="1" t="s">
        <v>114</v>
      </c>
      <c r="E288" s="1" t="str">
        <f>_xlfn.IFNA(VLOOKUP(Apps[[#This Row],[PostID]],Posts[[PostID]:[Position]],2,0),"")</f>
        <v>Driver</v>
      </c>
      <c r="F288" s="4">
        <v>45351</v>
      </c>
      <c r="G288" s="3" t="s">
        <v>2848</v>
      </c>
      <c r="H288" s="8" t="s">
        <v>3477</v>
      </c>
      <c r="I288" s="4">
        <v>45355</v>
      </c>
      <c r="K288" s="8" t="s">
        <v>3521</v>
      </c>
      <c r="M288" s="3"/>
      <c r="N288" s="3" t="s">
        <v>3477</v>
      </c>
      <c r="O288" s="5">
        <v>400</v>
      </c>
      <c r="P288" s="5">
        <v>450</v>
      </c>
    </row>
    <row r="289" spans="1:16" x14ac:dyDescent="0.3">
      <c r="A289" s="1" t="s">
        <v>3141</v>
      </c>
      <c r="B289" s="1" t="s">
        <v>2509</v>
      </c>
      <c r="C289" s="1" t="str">
        <f>VLOOKUP(Apps[[#This Row],[CandID]],Cands[[CandID]:[Cand_Name]],2,0)</f>
        <v>Khun Phors</v>
      </c>
      <c r="D289" s="1" t="s">
        <v>94</v>
      </c>
      <c r="E289" s="1" t="str">
        <f>_xlfn.IFNA(VLOOKUP(Apps[[#This Row],[PostID]],Posts[[PostID]:[Position]],2,0),"")</f>
        <v>Farm Manager</v>
      </c>
      <c r="F289" s="4">
        <v>45351</v>
      </c>
      <c r="G289" s="3" t="s">
        <v>2848</v>
      </c>
      <c r="H289" s="8" t="s">
        <v>3477</v>
      </c>
      <c r="I289" s="4">
        <v>45358</v>
      </c>
      <c r="M289" s="3"/>
    </row>
    <row r="290" spans="1:16" x14ac:dyDescent="0.3">
      <c r="A290" s="1" t="s">
        <v>3142</v>
      </c>
      <c r="B290" s="1" t="s">
        <v>2510</v>
      </c>
      <c r="C290" s="1" t="str">
        <f>VLOOKUP(Apps[[#This Row],[CandID]],Cands[[CandID]:[Cand_Name]],2,0)</f>
        <v>Mut Sarik</v>
      </c>
      <c r="D290" s="1" t="s">
        <v>114</v>
      </c>
      <c r="E290" s="1" t="str">
        <f>_xlfn.IFNA(VLOOKUP(Apps[[#This Row],[PostID]],Posts[[PostID]:[Position]],2,0),"")</f>
        <v>Driver</v>
      </c>
      <c r="F290" s="4">
        <v>45351</v>
      </c>
      <c r="G290" s="3" t="s">
        <v>2848</v>
      </c>
      <c r="H290" s="8" t="s">
        <v>3477</v>
      </c>
      <c r="I290" s="4">
        <v>45364</v>
      </c>
      <c r="K290" s="8" t="s">
        <v>3521</v>
      </c>
      <c r="M290" s="3"/>
      <c r="N290" s="3" t="s">
        <v>3477</v>
      </c>
    </row>
    <row r="291" spans="1:16" x14ac:dyDescent="0.3">
      <c r="A291" s="1" t="s">
        <v>3143</v>
      </c>
      <c r="B291" s="1" t="s">
        <v>2511</v>
      </c>
      <c r="C291" s="1" t="str">
        <f>VLOOKUP(Apps[[#This Row],[CandID]],Cands[[CandID]:[Cand_Name]],2,0)</f>
        <v>Leng Channan</v>
      </c>
      <c r="D291" s="1" t="s">
        <v>94</v>
      </c>
      <c r="E291" s="1" t="str">
        <f>_xlfn.IFNA(VLOOKUP(Apps[[#This Row],[PostID]],Posts[[PostID]:[Position]],2,0),"")</f>
        <v>Farm Manager</v>
      </c>
      <c r="F291" s="4">
        <v>45352</v>
      </c>
      <c r="G291" s="3" t="s">
        <v>3539</v>
      </c>
      <c r="H291" s="8" t="s">
        <v>3477</v>
      </c>
      <c r="I291" s="4">
        <v>45358</v>
      </c>
      <c r="M291" s="3"/>
    </row>
    <row r="292" spans="1:16" x14ac:dyDescent="0.3">
      <c r="A292" s="1" t="s">
        <v>3144</v>
      </c>
      <c r="B292" s="1" t="s">
        <v>2512</v>
      </c>
      <c r="C292" s="1" t="str">
        <f>VLOOKUP(Apps[[#This Row],[CandID]],Cands[[CandID]:[Cand_Name]],2,0)</f>
        <v>Khleoung Moniroth</v>
      </c>
      <c r="D292" s="1" t="s">
        <v>94</v>
      </c>
      <c r="E292" s="1" t="str">
        <f>_xlfn.IFNA(VLOOKUP(Apps[[#This Row],[PostID]],Posts[[PostID]:[Position]],2,0),"")</f>
        <v>Farm Manager</v>
      </c>
      <c r="F292" s="4">
        <v>45352</v>
      </c>
      <c r="G292" s="3" t="s">
        <v>3539</v>
      </c>
      <c r="H292" s="8" t="s">
        <v>3477</v>
      </c>
      <c r="I292" s="4">
        <v>45358</v>
      </c>
      <c r="M292" s="3"/>
    </row>
    <row r="293" spans="1:16" x14ac:dyDescent="0.3">
      <c r="A293" s="1" t="s">
        <v>3145</v>
      </c>
      <c r="B293" s="1" t="s">
        <v>2513</v>
      </c>
      <c r="C293" s="1" t="str">
        <f>VLOOKUP(Apps[[#This Row],[CandID]],Cands[[CandID]:[Cand_Name]],2,0)</f>
        <v>Pon Maneth</v>
      </c>
      <c r="D293" s="1" t="s">
        <v>94</v>
      </c>
      <c r="E293" s="1" t="str">
        <f>_xlfn.IFNA(VLOOKUP(Apps[[#This Row],[PostID]],Posts[[PostID]:[Position]],2,0),"")</f>
        <v>Farm Manager</v>
      </c>
      <c r="F293" s="4">
        <v>45352</v>
      </c>
      <c r="G293" s="3" t="s">
        <v>3539</v>
      </c>
      <c r="H293" s="8" t="s">
        <v>3477</v>
      </c>
      <c r="I293" s="4">
        <v>45358</v>
      </c>
      <c r="J293" s="4">
        <v>45369</v>
      </c>
      <c r="M293" s="3"/>
      <c r="O293" s="5">
        <v>250</v>
      </c>
      <c r="P293" s="5">
        <v>450</v>
      </c>
    </row>
    <row r="294" spans="1:16" x14ac:dyDescent="0.3">
      <c r="A294" s="1" t="s">
        <v>3146</v>
      </c>
      <c r="B294" s="1" t="s">
        <v>2514</v>
      </c>
      <c r="C294" s="1" t="str">
        <f>VLOOKUP(Apps[[#This Row],[CandID]],Cands[[CandID]:[Cand_Name]],2,0)</f>
        <v>Nhean Sokpov</v>
      </c>
      <c r="D294" s="1" t="s">
        <v>94</v>
      </c>
      <c r="E294" s="1" t="str">
        <f>_xlfn.IFNA(VLOOKUP(Apps[[#This Row],[PostID]],Posts[[PostID]:[Position]],2,0),"")</f>
        <v>Farm Manager</v>
      </c>
      <c r="F294" s="4">
        <v>45352</v>
      </c>
      <c r="G294" s="3" t="s">
        <v>3539</v>
      </c>
      <c r="H294" s="8" t="s">
        <v>3477</v>
      </c>
      <c r="I294" s="4">
        <v>45358</v>
      </c>
      <c r="K294" s="8" t="s">
        <v>3521</v>
      </c>
      <c r="M294" s="3"/>
      <c r="N294" s="3" t="s">
        <v>3477</v>
      </c>
    </row>
    <row r="295" spans="1:16" x14ac:dyDescent="0.3">
      <c r="A295" s="1" t="s">
        <v>3147</v>
      </c>
      <c r="B295" s="1" t="s">
        <v>2515</v>
      </c>
      <c r="C295" s="1" t="str">
        <f>VLOOKUP(Apps[[#This Row],[CandID]],Cands[[CandID]:[Cand_Name]],2,0)</f>
        <v>Sreng Lin</v>
      </c>
      <c r="D295" s="1" t="s">
        <v>94</v>
      </c>
      <c r="E295" s="1" t="str">
        <f>_xlfn.IFNA(VLOOKUP(Apps[[#This Row],[PostID]],Posts[[PostID]:[Position]],2,0),"")</f>
        <v>Farm Manager</v>
      </c>
      <c r="F295" s="4">
        <v>45352</v>
      </c>
      <c r="G295" s="3" t="s">
        <v>2848</v>
      </c>
      <c r="H295" s="8" t="s">
        <v>3477</v>
      </c>
      <c r="I295" s="4">
        <v>45358</v>
      </c>
      <c r="K295" s="8" t="s">
        <v>3521</v>
      </c>
      <c r="M295" s="3"/>
      <c r="N295" s="3" t="s">
        <v>3477</v>
      </c>
    </row>
    <row r="296" spans="1:16" x14ac:dyDescent="0.3">
      <c r="A296" s="1" t="s">
        <v>3148</v>
      </c>
      <c r="B296" s="1" t="s">
        <v>2516</v>
      </c>
      <c r="C296" s="1" t="str">
        <f>VLOOKUP(Apps[[#This Row],[CandID]],Cands[[CandID]:[Cand_Name]],2,0)</f>
        <v>Chea Oun</v>
      </c>
      <c r="D296" s="1" t="s">
        <v>94</v>
      </c>
      <c r="E296" s="1" t="str">
        <f>_xlfn.IFNA(VLOOKUP(Apps[[#This Row],[PostID]],Posts[[PostID]:[Position]],2,0),"")</f>
        <v>Farm Manager</v>
      </c>
      <c r="F296" s="4">
        <v>45352</v>
      </c>
      <c r="G296" s="3" t="s">
        <v>3539</v>
      </c>
      <c r="M296" s="3"/>
    </row>
    <row r="297" spans="1:16" x14ac:dyDescent="0.3">
      <c r="A297" s="1" t="s">
        <v>3149</v>
      </c>
      <c r="B297" s="1" t="s">
        <v>2517</v>
      </c>
      <c r="C297" s="1" t="str">
        <f>VLOOKUP(Apps[[#This Row],[CandID]],Cands[[CandID]:[Cand_Name]],2,0)</f>
        <v>Sokhom Daroth</v>
      </c>
      <c r="D297" s="1" t="s">
        <v>126</v>
      </c>
      <c r="E297" s="1" t="str">
        <f>_xlfn.IFNA(VLOOKUP(Apps[[#This Row],[PostID]],Posts[[PostID]:[Position]],2,0),"")</f>
        <v>Architect</v>
      </c>
      <c r="F297" s="4">
        <v>45352</v>
      </c>
      <c r="G297" s="3" t="s">
        <v>2846</v>
      </c>
      <c r="M297" s="3"/>
    </row>
    <row r="298" spans="1:16" x14ac:dyDescent="0.3">
      <c r="A298" s="1" t="s">
        <v>3150</v>
      </c>
      <c r="B298" s="1" t="s">
        <v>2518</v>
      </c>
      <c r="C298" s="1" t="str">
        <f>VLOOKUP(Apps[[#This Row],[CandID]],Cands[[CandID]:[Cand_Name]],2,0)</f>
        <v>Seang Mary</v>
      </c>
      <c r="D298" s="1" t="s">
        <v>100</v>
      </c>
      <c r="E298" s="1" t="str">
        <f>_xlfn.IFNA(VLOOKUP(Apps[[#This Row],[PostID]],Posts[[PostID]:[Position]],2,0),"")</f>
        <v>Sales Director</v>
      </c>
      <c r="F298" s="4">
        <v>45352</v>
      </c>
      <c r="G298" s="3" t="s">
        <v>2848</v>
      </c>
      <c r="H298" s="8" t="s">
        <v>3477</v>
      </c>
      <c r="I298" s="4">
        <v>45377</v>
      </c>
      <c r="M298" s="3"/>
      <c r="O298" s="5">
        <v>300</v>
      </c>
      <c r="P298" s="5">
        <v>350</v>
      </c>
    </row>
    <row r="299" spans="1:16" x14ac:dyDescent="0.3">
      <c r="A299" s="1" t="s">
        <v>3151</v>
      </c>
      <c r="B299" s="1" t="s">
        <v>2519</v>
      </c>
      <c r="C299" s="1" t="str">
        <f>VLOOKUP(Apps[[#This Row],[CandID]],Cands[[CandID]:[Cand_Name]],2,0)</f>
        <v>Khuon Mothary</v>
      </c>
      <c r="D299" s="1" t="s">
        <v>100</v>
      </c>
      <c r="E299" s="1" t="str">
        <f>_xlfn.IFNA(VLOOKUP(Apps[[#This Row],[PostID]],Posts[[PostID]:[Position]],2,0),"")</f>
        <v>Sales Director</v>
      </c>
      <c r="F299" s="4">
        <v>45352</v>
      </c>
      <c r="G299" s="3" t="s">
        <v>2848</v>
      </c>
      <c r="H299" s="8" t="s">
        <v>3477</v>
      </c>
      <c r="I299" s="4">
        <v>45370</v>
      </c>
      <c r="J299" s="4">
        <v>45383</v>
      </c>
      <c r="M299" s="3"/>
      <c r="O299" s="5">
        <v>320</v>
      </c>
      <c r="P299" s="5">
        <v>350</v>
      </c>
    </row>
    <row r="300" spans="1:16" x14ac:dyDescent="0.3">
      <c r="A300" s="1" t="s">
        <v>3152</v>
      </c>
      <c r="B300" s="1" t="s">
        <v>2520</v>
      </c>
      <c r="C300" s="1" t="str">
        <f>VLOOKUP(Apps[[#This Row],[CandID]],Cands[[CandID]:[Cand_Name]],2,0)</f>
        <v>Khov Chungkheang</v>
      </c>
      <c r="D300" s="1" t="s">
        <v>94</v>
      </c>
      <c r="E300" s="1" t="str">
        <f>_xlfn.IFNA(VLOOKUP(Apps[[#This Row],[PostID]],Posts[[PostID]:[Position]],2,0),"")</f>
        <v>Farm Manager</v>
      </c>
      <c r="F300" s="4">
        <v>45353</v>
      </c>
      <c r="G300" s="3" t="s">
        <v>3539</v>
      </c>
      <c r="M300" s="3"/>
    </row>
    <row r="301" spans="1:16" x14ac:dyDescent="0.3">
      <c r="A301" s="1" t="s">
        <v>3153</v>
      </c>
      <c r="B301" s="1" t="s">
        <v>2521</v>
      </c>
      <c r="C301" s="1" t="str">
        <f>VLOOKUP(Apps[[#This Row],[CandID]],Cands[[CandID]:[Cand_Name]],2,0)</f>
        <v>San Vichet</v>
      </c>
      <c r="D301" s="1" t="s">
        <v>94</v>
      </c>
      <c r="E301" s="1" t="str">
        <f>_xlfn.IFNA(VLOOKUP(Apps[[#This Row],[PostID]],Posts[[PostID]:[Position]],2,0),"")</f>
        <v>Farm Manager</v>
      </c>
      <c r="F301" s="4">
        <v>45354</v>
      </c>
      <c r="G301" s="3" t="s">
        <v>3539</v>
      </c>
      <c r="H301" s="8" t="s">
        <v>3477</v>
      </c>
      <c r="I301" s="4">
        <v>45358</v>
      </c>
      <c r="M301" s="3"/>
    </row>
    <row r="302" spans="1:16" x14ac:dyDescent="0.3">
      <c r="A302" s="1" t="s">
        <v>3154</v>
      </c>
      <c r="B302" s="1" t="s">
        <v>2522</v>
      </c>
      <c r="C302" s="1" t="str">
        <f>VLOOKUP(Apps[[#This Row],[CandID]],Cands[[CandID]:[Cand_Name]],2,0)</f>
        <v>Math Sary</v>
      </c>
      <c r="D302" s="1" t="s">
        <v>94</v>
      </c>
      <c r="E302" s="1" t="str">
        <f>_xlfn.IFNA(VLOOKUP(Apps[[#This Row],[PostID]],Posts[[PostID]:[Position]],2,0),"")</f>
        <v>Farm Manager</v>
      </c>
      <c r="F302" s="4">
        <v>45354</v>
      </c>
      <c r="G302" s="3" t="s">
        <v>3539</v>
      </c>
      <c r="M302" s="3"/>
    </row>
    <row r="303" spans="1:16" x14ac:dyDescent="0.3">
      <c r="A303" s="1" t="s">
        <v>3155</v>
      </c>
      <c r="B303" s="1" t="s">
        <v>2523</v>
      </c>
      <c r="C303" s="1" t="str">
        <f>VLOOKUP(Apps[[#This Row],[CandID]],Cands[[CandID]:[Cand_Name]],2,0)</f>
        <v>Yuy Vanra</v>
      </c>
      <c r="D303" s="1" t="s">
        <v>106</v>
      </c>
      <c r="E303" s="1" t="str">
        <f>_xlfn.IFNA(VLOOKUP(Apps[[#This Row],[PostID]],Posts[[PostID]:[Position]],2,0),"")</f>
        <v>Senior Accounting Officer</v>
      </c>
      <c r="F303" s="4">
        <v>45355</v>
      </c>
      <c r="G303" s="3" t="s">
        <v>3539</v>
      </c>
      <c r="M303" s="3"/>
    </row>
    <row r="304" spans="1:16" x14ac:dyDescent="0.3">
      <c r="A304" s="1" t="s">
        <v>3156</v>
      </c>
      <c r="B304" s="1" t="s">
        <v>2524</v>
      </c>
      <c r="C304" s="1" t="str">
        <f>VLOOKUP(Apps[[#This Row],[CandID]],Cands[[CandID]:[Cand_Name]],2,0)</f>
        <v>Heng Lysopheak</v>
      </c>
      <c r="D304" s="1" t="s">
        <v>94</v>
      </c>
      <c r="E304" s="1" t="str">
        <f>_xlfn.IFNA(VLOOKUP(Apps[[#This Row],[PostID]],Posts[[PostID]:[Position]],2,0),"")</f>
        <v>Farm Manager</v>
      </c>
      <c r="F304" s="4">
        <v>45355</v>
      </c>
      <c r="G304" s="3" t="s">
        <v>3539</v>
      </c>
      <c r="H304" s="8" t="s">
        <v>3477</v>
      </c>
      <c r="I304" s="4">
        <v>45358</v>
      </c>
      <c r="M304" s="3"/>
    </row>
    <row r="305" spans="1:16" x14ac:dyDescent="0.3">
      <c r="A305" s="1" t="s">
        <v>3157</v>
      </c>
      <c r="B305" s="1" t="s">
        <v>2525</v>
      </c>
      <c r="C305" s="1" t="str">
        <f>VLOOKUP(Apps[[#This Row],[CandID]],Cands[[CandID]:[Cand_Name]],2,0)</f>
        <v>Yin Sam At</v>
      </c>
      <c r="D305" s="1" t="s">
        <v>86</v>
      </c>
      <c r="E305" s="1" t="str">
        <f>_xlfn.IFNA(VLOOKUP(Apps[[#This Row],[PostID]],Posts[[PostID]:[Position]],2,0),"")</f>
        <v>Factory Supervisor</v>
      </c>
      <c r="F305" s="4">
        <v>45355</v>
      </c>
      <c r="G305" s="3" t="s">
        <v>2846</v>
      </c>
      <c r="H305" s="8" t="s">
        <v>3475</v>
      </c>
      <c r="K305" s="8" t="s">
        <v>3521</v>
      </c>
      <c r="M305" s="3"/>
    </row>
    <row r="306" spans="1:16" x14ac:dyDescent="0.3">
      <c r="A306" s="1" t="s">
        <v>3158</v>
      </c>
      <c r="B306" s="1" t="s">
        <v>2526</v>
      </c>
      <c r="C306" s="1" t="str">
        <f>VLOOKUP(Apps[[#This Row],[CandID]],Cands[[CandID]:[Cand_Name]],2,0)</f>
        <v>Bun Ravy</v>
      </c>
      <c r="D306" s="1" t="s">
        <v>94</v>
      </c>
      <c r="E306" s="1" t="str">
        <f>_xlfn.IFNA(VLOOKUP(Apps[[#This Row],[PostID]],Posts[[PostID]:[Position]],2,0),"")</f>
        <v>Farm Manager</v>
      </c>
      <c r="F306" s="4">
        <v>45356</v>
      </c>
      <c r="G306" s="3" t="s">
        <v>3539</v>
      </c>
      <c r="M306" s="3"/>
    </row>
    <row r="307" spans="1:16" x14ac:dyDescent="0.3">
      <c r="A307" s="1" t="s">
        <v>3159</v>
      </c>
      <c r="B307" s="1" t="s">
        <v>2527</v>
      </c>
      <c r="C307" s="1" t="str">
        <f>VLOOKUP(Apps[[#This Row],[CandID]],Cands[[CandID]:[Cand_Name]],2,0)</f>
        <v>Then Thavlin</v>
      </c>
      <c r="D307" s="1" t="s">
        <v>94</v>
      </c>
      <c r="E307" s="1" t="str">
        <f>_xlfn.IFNA(VLOOKUP(Apps[[#This Row],[PostID]],Posts[[PostID]:[Position]],2,0),"")</f>
        <v>Farm Manager</v>
      </c>
      <c r="F307" s="4">
        <v>45356</v>
      </c>
      <c r="G307" s="3" t="s">
        <v>3539</v>
      </c>
      <c r="M307" s="3"/>
    </row>
    <row r="308" spans="1:16" x14ac:dyDescent="0.3">
      <c r="A308" s="1" t="s">
        <v>3160</v>
      </c>
      <c r="B308" s="1" t="s">
        <v>2528</v>
      </c>
      <c r="C308" s="1" t="str">
        <f>VLOOKUP(Apps[[#This Row],[CandID]],Cands[[CandID]:[Cand_Name]],2,0)</f>
        <v>Pek Chanthorn</v>
      </c>
      <c r="D308" s="1" t="s">
        <v>100</v>
      </c>
      <c r="E308" s="1" t="str">
        <f>_xlfn.IFNA(VLOOKUP(Apps[[#This Row],[PostID]],Posts[[PostID]:[Position]],2,0),"")</f>
        <v>Sales Director</v>
      </c>
      <c r="F308" s="4">
        <v>45356</v>
      </c>
      <c r="G308" s="3" t="s">
        <v>2845</v>
      </c>
      <c r="M308" s="3"/>
    </row>
    <row r="309" spans="1:16" x14ac:dyDescent="0.3">
      <c r="A309" s="1" t="s">
        <v>3161</v>
      </c>
      <c r="B309" s="1" t="s">
        <v>2529</v>
      </c>
      <c r="C309" s="1" t="str">
        <f>VLOOKUP(Apps[[#This Row],[CandID]],Cands[[CandID]:[Cand_Name]],2,0)</f>
        <v>Koeng Chantha</v>
      </c>
      <c r="D309" s="1" t="s">
        <v>106</v>
      </c>
      <c r="E309" s="1" t="str">
        <f>_xlfn.IFNA(VLOOKUP(Apps[[#This Row],[PostID]],Posts[[PostID]:[Position]],2,0),"")</f>
        <v>Senior Accounting Officer</v>
      </c>
      <c r="F309" s="4">
        <v>45356</v>
      </c>
      <c r="G309" s="3" t="s">
        <v>2848</v>
      </c>
      <c r="H309" s="8" t="s">
        <v>3477</v>
      </c>
      <c r="I309" s="4">
        <v>45355</v>
      </c>
      <c r="M309" s="3"/>
    </row>
    <row r="310" spans="1:16" x14ac:dyDescent="0.3">
      <c r="A310" s="1" t="s">
        <v>3162</v>
      </c>
      <c r="B310" s="1" t="s">
        <v>2530</v>
      </c>
      <c r="C310" s="1" t="str">
        <f>VLOOKUP(Apps[[#This Row],[CandID]],Cands[[CandID]:[Cand_Name]],2,0)</f>
        <v>Nao Neng</v>
      </c>
      <c r="D310" s="1" t="s">
        <v>93</v>
      </c>
      <c r="E310" s="1" t="str">
        <f>_xlfn.IFNA(VLOOKUP(Apps[[#This Row],[PostID]],Posts[[PostID]:[Position]],2,0),"")</f>
        <v>Finance Director</v>
      </c>
      <c r="F310" s="4">
        <v>45357</v>
      </c>
      <c r="G310" s="3" t="s">
        <v>2846</v>
      </c>
      <c r="M310" s="3"/>
    </row>
    <row r="311" spans="1:16" x14ac:dyDescent="0.3">
      <c r="A311" s="1" t="s">
        <v>3163</v>
      </c>
      <c r="B311" s="1" t="s">
        <v>2531</v>
      </c>
      <c r="C311" s="1" t="str">
        <f>VLOOKUP(Apps[[#This Row],[CandID]],Cands[[CandID]:[Cand_Name]],2,0)</f>
        <v>Raktanak Kakkakda</v>
      </c>
      <c r="E311" s="1" t="str">
        <f>_xlfn.IFNA(VLOOKUP(Apps[[#This Row],[PostID]],Posts[[PostID]:[Position]],2,0),"")</f>
        <v/>
      </c>
      <c r="F311" s="4">
        <v>45357</v>
      </c>
      <c r="G311" s="3" t="s">
        <v>2846</v>
      </c>
      <c r="M311" s="3"/>
    </row>
    <row r="312" spans="1:16" x14ac:dyDescent="0.3">
      <c r="A312" s="1" t="s">
        <v>3164</v>
      </c>
      <c r="B312" s="1" t="s">
        <v>2532</v>
      </c>
      <c r="C312" s="1" t="str">
        <f>VLOOKUP(Apps[[#This Row],[CandID]],Cands[[CandID]:[Cand_Name]],2,0)</f>
        <v>Soy Sreyvan</v>
      </c>
      <c r="D312" s="1" t="s">
        <v>125</v>
      </c>
      <c r="E312" s="1" t="str">
        <f>_xlfn.IFNA(VLOOKUP(Apps[[#This Row],[PostID]],Posts[[PostID]:[Position]],2,0),"")</f>
        <v>Project Accounting Officer</v>
      </c>
      <c r="F312" s="4">
        <v>45357</v>
      </c>
      <c r="G312" s="3" t="s">
        <v>2848</v>
      </c>
      <c r="M312" s="3"/>
    </row>
    <row r="313" spans="1:16" x14ac:dyDescent="0.3">
      <c r="A313" s="1" t="s">
        <v>3165</v>
      </c>
      <c r="B313" s="1" t="s">
        <v>2533</v>
      </c>
      <c r="C313" s="1" t="str">
        <f>VLOOKUP(Apps[[#This Row],[CandID]],Cands[[CandID]:[Cand_Name]],2,0)</f>
        <v>Lat Sreyleak</v>
      </c>
      <c r="D313" s="1" t="s">
        <v>106</v>
      </c>
      <c r="E313" s="1" t="str">
        <f>_xlfn.IFNA(VLOOKUP(Apps[[#This Row],[PostID]],Posts[[PostID]:[Position]],2,0),"")</f>
        <v>Senior Accounting Officer</v>
      </c>
      <c r="F313" s="4">
        <v>45357</v>
      </c>
      <c r="G313" s="3" t="s">
        <v>2848</v>
      </c>
      <c r="M313" s="3"/>
    </row>
    <row r="314" spans="1:16" x14ac:dyDescent="0.3">
      <c r="A314" s="1" t="s">
        <v>3166</v>
      </c>
      <c r="B314" s="1" t="s">
        <v>2534</v>
      </c>
      <c r="C314" s="1" t="str">
        <f>VLOOKUP(Apps[[#This Row],[CandID]],Cands[[CandID]:[Cand_Name]],2,0)</f>
        <v>Hun Sreyneth</v>
      </c>
      <c r="E314" s="1" t="str">
        <f>_xlfn.IFNA(VLOOKUP(Apps[[#This Row],[PostID]],Posts[[PostID]:[Position]],2,0),"")</f>
        <v/>
      </c>
      <c r="F314" s="4">
        <v>45359</v>
      </c>
      <c r="G314" s="3" t="s">
        <v>2848</v>
      </c>
      <c r="M314" s="3"/>
    </row>
    <row r="315" spans="1:16" x14ac:dyDescent="0.3">
      <c r="A315" s="1" t="s">
        <v>3167</v>
      </c>
      <c r="B315" s="1" t="s">
        <v>2535</v>
      </c>
      <c r="C315" s="1" t="str">
        <f>VLOOKUP(Apps[[#This Row],[CandID]],Cands[[CandID]:[Cand_Name]],2,0)</f>
        <v>Thach Chantara</v>
      </c>
      <c r="D315" s="1" t="s">
        <v>99</v>
      </c>
      <c r="E315" s="1" t="str">
        <f>_xlfn.IFNA(VLOOKUP(Apps[[#This Row],[PostID]],Posts[[PostID]:[Position]],2,0),"")</f>
        <v>Deputy Marketing Manager (event)</v>
      </c>
      <c r="F315" s="4">
        <v>45360</v>
      </c>
      <c r="G315" s="3" t="s">
        <v>2845</v>
      </c>
      <c r="H315" s="8" t="s">
        <v>3477</v>
      </c>
      <c r="I315" s="4">
        <v>45365</v>
      </c>
      <c r="M315" s="3"/>
      <c r="O315" s="5">
        <v>350</v>
      </c>
      <c r="P315" s="5">
        <v>600</v>
      </c>
    </row>
    <row r="316" spans="1:16" x14ac:dyDescent="0.3">
      <c r="A316" s="1" t="s">
        <v>3168</v>
      </c>
      <c r="B316" s="1" t="s">
        <v>2536</v>
      </c>
      <c r="C316" s="1" t="str">
        <f>VLOOKUP(Apps[[#This Row],[CandID]],Cands[[CandID]:[Cand_Name]],2,0)</f>
        <v>Ma Pachako Mongkuol</v>
      </c>
      <c r="D316" s="1" t="s">
        <v>99</v>
      </c>
      <c r="E316" s="1" t="str">
        <f>_xlfn.IFNA(VLOOKUP(Apps[[#This Row],[PostID]],Posts[[PostID]:[Position]],2,0),"")</f>
        <v>Deputy Marketing Manager (event)</v>
      </c>
      <c r="F316" s="4">
        <v>45361</v>
      </c>
      <c r="G316" s="3" t="s">
        <v>3539</v>
      </c>
      <c r="H316" s="8" t="s">
        <v>3477</v>
      </c>
      <c r="I316" s="4">
        <v>45365</v>
      </c>
      <c r="K316" s="8" t="s">
        <v>3521</v>
      </c>
      <c r="M316" s="3"/>
      <c r="N316" s="3" t="s">
        <v>3477</v>
      </c>
      <c r="O316" s="5">
        <v>400</v>
      </c>
      <c r="P316" s="5">
        <v>500</v>
      </c>
    </row>
    <row r="317" spans="1:16" x14ac:dyDescent="0.3">
      <c r="A317" s="1" t="s">
        <v>3169</v>
      </c>
      <c r="B317" s="1" t="s">
        <v>2537</v>
      </c>
      <c r="C317" s="1" t="str">
        <f>VLOOKUP(Apps[[#This Row],[CandID]],Cands[[CandID]:[Cand_Name]],2,0)</f>
        <v>Men Podalo</v>
      </c>
      <c r="D317" s="1" t="s">
        <v>99</v>
      </c>
      <c r="E317" s="1" t="str">
        <f>_xlfn.IFNA(VLOOKUP(Apps[[#This Row],[PostID]],Posts[[PostID]:[Position]],2,0),"")</f>
        <v>Deputy Marketing Manager (event)</v>
      </c>
      <c r="F317" s="4">
        <v>45361</v>
      </c>
      <c r="G317" s="3" t="s">
        <v>3539</v>
      </c>
      <c r="M317" s="3"/>
    </row>
    <row r="318" spans="1:16" x14ac:dyDescent="0.3">
      <c r="A318" s="1" t="s">
        <v>3170</v>
      </c>
      <c r="B318" s="1" t="s">
        <v>2538</v>
      </c>
      <c r="C318" s="1" t="str">
        <f>VLOOKUP(Apps[[#This Row],[CandID]],Cands[[CandID]:[Cand_Name]],2,0)</f>
        <v>Svay Socheat</v>
      </c>
      <c r="D318" s="1" t="s">
        <v>115</v>
      </c>
      <c r="E318" s="1" t="str">
        <f>_xlfn.IFNA(VLOOKUP(Apps[[#This Row],[PostID]],Posts[[PostID]:[Position]],2,0),"")</f>
        <v>Admin and Accounting Officer</v>
      </c>
      <c r="F318" s="4">
        <v>45361</v>
      </c>
      <c r="G318" s="3" t="s">
        <v>3539</v>
      </c>
      <c r="M318" s="3"/>
    </row>
    <row r="319" spans="1:16" x14ac:dyDescent="0.3">
      <c r="A319" s="1" t="s">
        <v>3171</v>
      </c>
      <c r="B319" s="1" t="s">
        <v>2539</v>
      </c>
      <c r="C319" s="1" t="str">
        <f>VLOOKUP(Apps[[#This Row],[CandID]],Cands[[CandID]:[Cand_Name]],2,0)</f>
        <v>Roeurng Chetra</v>
      </c>
      <c r="D319" s="1" t="s">
        <v>99</v>
      </c>
      <c r="E319" s="1" t="str">
        <f>_xlfn.IFNA(VLOOKUP(Apps[[#This Row],[PostID]],Posts[[PostID]:[Position]],2,0),"")</f>
        <v>Deputy Marketing Manager (event)</v>
      </c>
      <c r="F319" s="4">
        <v>45362</v>
      </c>
      <c r="G319" s="3" t="s">
        <v>3539</v>
      </c>
      <c r="M319" s="3"/>
    </row>
    <row r="320" spans="1:16" x14ac:dyDescent="0.3">
      <c r="A320" s="1" t="s">
        <v>3172</v>
      </c>
      <c r="B320" s="1" t="s">
        <v>2540</v>
      </c>
      <c r="C320" s="1" t="str">
        <f>VLOOKUP(Apps[[#This Row],[CandID]],Cands[[CandID]:[Cand_Name]],2,0)</f>
        <v>Phy Nakry</v>
      </c>
      <c r="D320" s="1" t="s">
        <v>99</v>
      </c>
      <c r="E320" s="1" t="str">
        <f>_xlfn.IFNA(VLOOKUP(Apps[[#This Row],[PostID]],Posts[[PostID]:[Position]],2,0),"")</f>
        <v>Deputy Marketing Manager (event)</v>
      </c>
      <c r="F320" s="4">
        <v>45362</v>
      </c>
      <c r="G320" s="3" t="s">
        <v>2848</v>
      </c>
      <c r="M320" s="3"/>
    </row>
    <row r="321" spans="1:16" x14ac:dyDescent="0.3">
      <c r="A321" s="1" t="s">
        <v>3173</v>
      </c>
      <c r="B321" s="1" t="s">
        <v>2541</v>
      </c>
      <c r="C321" s="1" t="str">
        <f>VLOOKUP(Apps[[#This Row],[CandID]],Cands[[CandID]:[Cand_Name]],2,0)</f>
        <v>Kong Sotha</v>
      </c>
      <c r="D321" s="1" t="s">
        <v>115</v>
      </c>
      <c r="E321" s="1" t="str">
        <f>_xlfn.IFNA(VLOOKUP(Apps[[#This Row],[PostID]],Posts[[PostID]:[Position]],2,0),"")</f>
        <v>Admin and Accounting Officer</v>
      </c>
      <c r="F321" s="4">
        <v>45362</v>
      </c>
      <c r="G321" s="3" t="s">
        <v>3539</v>
      </c>
      <c r="H321" s="8" t="s">
        <v>3477</v>
      </c>
      <c r="I321" s="4">
        <v>45363</v>
      </c>
      <c r="M321" s="3"/>
      <c r="O321" s="5">
        <v>350</v>
      </c>
      <c r="P321" s="5">
        <v>450</v>
      </c>
    </row>
    <row r="322" spans="1:16" x14ac:dyDescent="0.3">
      <c r="A322" s="1" t="s">
        <v>3174</v>
      </c>
      <c r="B322" s="1" t="s">
        <v>2542</v>
      </c>
      <c r="C322" s="1" t="str">
        <f>VLOOKUP(Apps[[#This Row],[CandID]],Cands[[CandID]:[Cand_Name]],2,0)</f>
        <v>Chamnan Chamnab</v>
      </c>
      <c r="D322" s="1" t="s">
        <v>105</v>
      </c>
      <c r="E322" s="1" t="str">
        <f>_xlfn.IFNA(VLOOKUP(Apps[[#This Row],[PostID]],Posts[[PostID]:[Position]],2,0),"")</f>
        <v>Deputy IT Manager</v>
      </c>
      <c r="F322" s="4">
        <v>45363</v>
      </c>
      <c r="G322" s="3" t="s">
        <v>3539</v>
      </c>
      <c r="H322" s="8" t="s">
        <v>3475</v>
      </c>
      <c r="K322" s="8" t="s">
        <v>3521</v>
      </c>
      <c r="M322" s="3"/>
    </row>
    <row r="323" spans="1:16" x14ac:dyDescent="0.3">
      <c r="A323" s="1" t="s">
        <v>3175</v>
      </c>
      <c r="B323" s="1" t="s">
        <v>2543</v>
      </c>
      <c r="C323" s="1" t="str">
        <f>VLOOKUP(Apps[[#This Row],[CandID]],Cands[[CandID]:[Cand_Name]],2,0)</f>
        <v>Sao Tim</v>
      </c>
      <c r="D323" s="1" t="s">
        <v>99</v>
      </c>
      <c r="E323" s="1" t="str">
        <f>_xlfn.IFNA(VLOOKUP(Apps[[#This Row],[PostID]],Posts[[PostID]:[Position]],2,0),"")</f>
        <v>Deputy Marketing Manager (event)</v>
      </c>
      <c r="F323" s="4">
        <v>45363</v>
      </c>
      <c r="G323" s="3" t="s">
        <v>3539</v>
      </c>
      <c r="M323" s="3"/>
    </row>
    <row r="324" spans="1:16" x14ac:dyDescent="0.3">
      <c r="A324" s="1" t="s">
        <v>3176</v>
      </c>
      <c r="B324" s="1" t="s">
        <v>2544</v>
      </c>
      <c r="C324" s="1" t="str">
        <f>VLOOKUP(Apps[[#This Row],[CandID]],Cands[[CandID]:[Cand_Name]],2,0)</f>
        <v>Sam Sonal</v>
      </c>
      <c r="D324" s="1" t="s">
        <v>94</v>
      </c>
      <c r="E324" s="1" t="str">
        <f>_xlfn.IFNA(VLOOKUP(Apps[[#This Row],[PostID]],Posts[[PostID]:[Position]],2,0),"")</f>
        <v>Farm Manager</v>
      </c>
      <c r="F324" s="4">
        <v>45363</v>
      </c>
      <c r="G324" s="3" t="s">
        <v>2848</v>
      </c>
      <c r="M324" s="3"/>
    </row>
    <row r="325" spans="1:16" x14ac:dyDescent="0.3">
      <c r="A325" s="1" t="s">
        <v>3177</v>
      </c>
      <c r="B325" s="1" t="s">
        <v>2545</v>
      </c>
      <c r="C325" s="1" t="str">
        <f>VLOOKUP(Apps[[#This Row],[CandID]],Cands[[CandID]:[Cand_Name]],2,0)</f>
        <v>Teom Sokunthy</v>
      </c>
      <c r="D325" s="1" t="s">
        <v>106</v>
      </c>
      <c r="E325" s="1" t="str">
        <f>_xlfn.IFNA(VLOOKUP(Apps[[#This Row],[PostID]],Posts[[PostID]:[Position]],2,0),"")</f>
        <v>Senior Accounting Officer</v>
      </c>
      <c r="F325" s="4">
        <v>45363</v>
      </c>
      <c r="G325" s="3" t="s">
        <v>2848</v>
      </c>
      <c r="M325" s="3"/>
    </row>
    <row r="326" spans="1:16" x14ac:dyDescent="0.3">
      <c r="A326" s="1" t="s">
        <v>3178</v>
      </c>
      <c r="B326" s="1" t="s">
        <v>2546</v>
      </c>
      <c r="C326" s="1" t="str">
        <f>VLOOKUP(Apps[[#This Row],[CandID]],Cands[[CandID]:[Cand_Name]],2,0)</f>
        <v>Loem Soklek</v>
      </c>
      <c r="D326" s="1" t="s">
        <v>105</v>
      </c>
      <c r="E326" s="1" t="str">
        <f>_xlfn.IFNA(VLOOKUP(Apps[[#This Row],[PostID]],Posts[[PostID]:[Position]],2,0),"")</f>
        <v>Deputy IT Manager</v>
      </c>
      <c r="F326" s="4">
        <v>45363</v>
      </c>
      <c r="G326" s="3" t="s">
        <v>3539</v>
      </c>
      <c r="H326" s="8" t="s">
        <v>3477</v>
      </c>
      <c r="I326" s="4">
        <v>45369</v>
      </c>
      <c r="M326" s="3"/>
      <c r="O326" s="5">
        <v>470</v>
      </c>
      <c r="P326" s="5">
        <v>500</v>
      </c>
    </row>
    <row r="327" spans="1:16" x14ac:dyDescent="0.3">
      <c r="A327" s="1" t="s">
        <v>3179</v>
      </c>
      <c r="B327" s="1" t="s">
        <v>2547</v>
      </c>
      <c r="C327" s="1" t="str">
        <f>VLOOKUP(Apps[[#This Row],[CandID]],Cands[[CandID]:[Cand_Name]],2,0)</f>
        <v>Sok Chamreunkoy</v>
      </c>
      <c r="D327" s="1" t="s">
        <v>105</v>
      </c>
      <c r="E327" s="1" t="str">
        <f>_xlfn.IFNA(VLOOKUP(Apps[[#This Row],[PostID]],Posts[[PostID]:[Position]],2,0),"")</f>
        <v>Deputy IT Manager</v>
      </c>
      <c r="F327" s="4">
        <v>45363</v>
      </c>
      <c r="G327" s="3" t="s">
        <v>3539</v>
      </c>
      <c r="H327" s="8" t="s">
        <v>3475</v>
      </c>
      <c r="K327" s="8" t="s">
        <v>3521</v>
      </c>
      <c r="M327" s="3"/>
    </row>
    <row r="328" spans="1:16" x14ac:dyDescent="0.3">
      <c r="A328" s="1" t="s">
        <v>3180</v>
      </c>
      <c r="B328" s="1" t="s">
        <v>2548</v>
      </c>
      <c r="C328" s="1" t="str">
        <f>VLOOKUP(Apps[[#This Row],[CandID]],Cands[[CandID]:[Cand_Name]],2,0)</f>
        <v>Sroy Chamnan</v>
      </c>
      <c r="D328" s="1" t="s">
        <v>105</v>
      </c>
      <c r="E328" s="1" t="str">
        <f>_xlfn.IFNA(VLOOKUP(Apps[[#This Row],[PostID]],Posts[[PostID]:[Position]],2,0),"")</f>
        <v>Deputy IT Manager</v>
      </c>
      <c r="F328" s="4">
        <v>45363</v>
      </c>
      <c r="G328" s="3" t="s">
        <v>3539</v>
      </c>
      <c r="H328" s="8" t="s">
        <v>3475</v>
      </c>
      <c r="K328" s="8" t="s">
        <v>3521</v>
      </c>
      <c r="M328" s="3"/>
    </row>
    <row r="329" spans="1:16" x14ac:dyDescent="0.3">
      <c r="A329" s="1" t="s">
        <v>3181</v>
      </c>
      <c r="B329" s="1" t="s">
        <v>2549</v>
      </c>
      <c r="C329" s="1" t="str">
        <f>VLOOKUP(Apps[[#This Row],[CandID]],Cands[[CandID]:[Cand_Name]],2,0)</f>
        <v>Moeurn Rany</v>
      </c>
      <c r="D329" s="1" t="s">
        <v>106</v>
      </c>
      <c r="E329" s="1" t="str">
        <f>_xlfn.IFNA(VLOOKUP(Apps[[#This Row],[PostID]],Posts[[PostID]:[Position]],2,0),"")</f>
        <v>Senior Accounting Officer</v>
      </c>
      <c r="F329" s="4">
        <v>45363</v>
      </c>
      <c r="G329" s="3" t="s">
        <v>2848</v>
      </c>
      <c r="M329" s="3"/>
    </row>
    <row r="330" spans="1:16" x14ac:dyDescent="0.3">
      <c r="A330" s="1" t="s">
        <v>3182</v>
      </c>
      <c r="B330" s="1" t="s">
        <v>2550</v>
      </c>
      <c r="C330" s="1" t="str">
        <f>VLOOKUP(Apps[[#This Row],[CandID]],Cands[[CandID]:[Cand_Name]],2,0)</f>
        <v>Muth Sarik</v>
      </c>
      <c r="D330" s="1" t="s">
        <v>114</v>
      </c>
      <c r="E330" s="1" t="str">
        <f>_xlfn.IFNA(VLOOKUP(Apps[[#This Row],[PostID]],Posts[[PostID]:[Position]],2,0),"")</f>
        <v>Driver</v>
      </c>
      <c r="F330" s="4">
        <v>45363</v>
      </c>
      <c r="G330" s="3" t="s">
        <v>3539</v>
      </c>
      <c r="H330" s="8" t="s">
        <v>3477</v>
      </c>
      <c r="I330" s="4">
        <v>45364</v>
      </c>
      <c r="M330" s="3"/>
      <c r="P330" s="5">
        <v>300</v>
      </c>
    </row>
    <row r="331" spans="1:16" x14ac:dyDescent="0.3">
      <c r="A331" s="1" t="s">
        <v>3183</v>
      </c>
      <c r="B331" s="1" t="s">
        <v>2551</v>
      </c>
      <c r="C331" s="1" t="str">
        <f>VLOOKUP(Apps[[#This Row],[CandID]],Cands[[CandID]:[Cand_Name]],2,0)</f>
        <v>Sokhom Channa</v>
      </c>
      <c r="D331" s="1" t="s">
        <v>105</v>
      </c>
      <c r="E331" s="1" t="str">
        <f>_xlfn.IFNA(VLOOKUP(Apps[[#This Row],[PostID]],Posts[[PostID]:[Position]],2,0),"")</f>
        <v>Deputy IT Manager</v>
      </c>
      <c r="F331" s="4">
        <v>45364</v>
      </c>
      <c r="G331" s="3" t="s">
        <v>3539</v>
      </c>
      <c r="M331" s="3"/>
    </row>
    <row r="332" spans="1:16" x14ac:dyDescent="0.3">
      <c r="A332" s="1" t="s">
        <v>3184</v>
      </c>
      <c r="B332" s="1" t="s">
        <v>2552</v>
      </c>
      <c r="C332" s="1" t="str">
        <f>VLOOKUP(Apps[[#This Row],[CandID]],Cands[[CandID]:[Cand_Name]],2,0)</f>
        <v>Un Sengleang</v>
      </c>
      <c r="D332" s="1" t="s">
        <v>99</v>
      </c>
      <c r="E332" s="1" t="str">
        <f>_xlfn.IFNA(VLOOKUP(Apps[[#This Row],[PostID]],Posts[[PostID]:[Position]],2,0),"")</f>
        <v>Deputy Marketing Manager (event)</v>
      </c>
      <c r="F332" s="4">
        <v>45364</v>
      </c>
      <c r="G332" s="3" t="s">
        <v>3539</v>
      </c>
      <c r="M332" s="3"/>
    </row>
    <row r="333" spans="1:16" x14ac:dyDescent="0.3">
      <c r="A333" s="1" t="s">
        <v>3185</v>
      </c>
      <c r="B333" s="1" t="s">
        <v>2553</v>
      </c>
      <c r="C333" s="1" t="str">
        <f>VLOOKUP(Apps[[#This Row],[CandID]],Cands[[CandID]:[Cand_Name]],2,0)</f>
        <v>Hor Lyno</v>
      </c>
      <c r="D333" s="1" t="s">
        <v>114</v>
      </c>
      <c r="E333" s="1" t="str">
        <f>_xlfn.IFNA(VLOOKUP(Apps[[#This Row],[PostID]],Posts[[PostID]:[Position]],2,0),"")</f>
        <v>Driver</v>
      </c>
      <c r="F333" s="4">
        <v>45364</v>
      </c>
      <c r="G333" s="3" t="s">
        <v>2845</v>
      </c>
      <c r="H333" s="8" t="s">
        <v>3477</v>
      </c>
      <c r="I333" s="4">
        <v>45364</v>
      </c>
      <c r="M333" s="3"/>
      <c r="O333" s="5">
        <v>300</v>
      </c>
      <c r="P333" s="5">
        <v>300</v>
      </c>
    </row>
    <row r="334" spans="1:16" x14ac:dyDescent="0.3">
      <c r="A334" s="1" t="s">
        <v>3186</v>
      </c>
      <c r="B334" s="1" t="s">
        <v>2554</v>
      </c>
      <c r="C334" s="1" t="str">
        <f>VLOOKUP(Apps[[#This Row],[CandID]],Cands[[CandID]:[Cand_Name]],2,0)</f>
        <v>Som Sokvisal</v>
      </c>
      <c r="D334" s="1" t="s">
        <v>115</v>
      </c>
      <c r="E334" s="1" t="str">
        <f>_xlfn.IFNA(VLOOKUP(Apps[[#This Row],[PostID]],Posts[[PostID]:[Position]],2,0),"")</f>
        <v>Admin and Accounting Officer</v>
      </c>
      <c r="F334" s="4">
        <v>45365</v>
      </c>
      <c r="G334" s="3" t="s">
        <v>3539</v>
      </c>
      <c r="M334" s="3"/>
    </row>
    <row r="335" spans="1:16" x14ac:dyDescent="0.3">
      <c r="A335" s="1" t="s">
        <v>3187</v>
      </c>
      <c r="B335" s="1" t="s">
        <v>2555</v>
      </c>
      <c r="C335" s="1" t="str">
        <f>VLOOKUP(Apps[[#This Row],[CandID]],Cands[[CandID]:[Cand_Name]],2,0)</f>
        <v>Hou Sreypov</v>
      </c>
      <c r="D335" s="1" t="s">
        <v>99</v>
      </c>
      <c r="E335" s="1" t="str">
        <f>_xlfn.IFNA(VLOOKUP(Apps[[#This Row],[PostID]],Posts[[PostID]:[Position]],2,0),"")</f>
        <v>Deputy Marketing Manager (event)</v>
      </c>
      <c r="F335" s="4">
        <v>45365</v>
      </c>
      <c r="G335" s="3" t="s">
        <v>3539</v>
      </c>
      <c r="M335" s="3"/>
    </row>
    <row r="336" spans="1:16" x14ac:dyDescent="0.3">
      <c r="A336" s="1" t="s">
        <v>3188</v>
      </c>
      <c r="B336" s="1" t="s">
        <v>2556</v>
      </c>
      <c r="C336" s="1" t="str">
        <f>VLOOKUP(Apps[[#This Row],[CandID]],Cands[[CandID]:[Cand_Name]],2,0)</f>
        <v>Pheng Sothea</v>
      </c>
      <c r="D336" s="1" t="s">
        <v>99</v>
      </c>
      <c r="E336" s="1" t="str">
        <f>_xlfn.IFNA(VLOOKUP(Apps[[#This Row],[PostID]],Posts[[PostID]:[Position]],2,0),"")</f>
        <v>Deputy Marketing Manager (event)</v>
      </c>
      <c r="F336" s="4">
        <v>45365</v>
      </c>
      <c r="G336" s="3" t="s">
        <v>3539</v>
      </c>
      <c r="M336" s="3"/>
    </row>
    <row r="337" spans="1:16" x14ac:dyDescent="0.3">
      <c r="A337" s="1" t="s">
        <v>3189</v>
      </c>
      <c r="B337" s="1" t="s">
        <v>2557</v>
      </c>
      <c r="C337" s="1" t="str">
        <f>VLOOKUP(Apps[[#This Row],[CandID]],Cands[[CandID]:[Cand_Name]],2,0)</f>
        <v>Sun Sarom</v>
      </c>
      <c r="D337" s="1" t="s">
        <v>105</v>
      </c>
      <c r="E337" s="1" t="str">
        <f>_xlfn.IFNA(VLOOKUP(Apps[[#This Row],[PostID]],Posts[[PostID]:[Position]],2,0),"")</f>
        <v>Deputy IT Manager</v>
      </c>
      <c r="F337" s="4">
        <v>45365</v>
      </c>
      <c r="G337" s="3" t="s">
        <v>3539</v>
      </c>
      <c r="M337" s="3"/>
    </row>
    <row r="338" spans="1:16" x14ac:dyDescent="0.3">
      <c r="A338" s="1" t="s">
        <v>3190</v>
      </c>
      <c r="B338" s="1" t="s">
        <v>2558</v>
      </c>
      <c r="C338" s="1" t="str">
        <f>VLOOKUP(Apps[[#This Row],[CandID]],Cands[[CandID]:[Cand_Name]],2,0)</f>
        <v>Thoun Channin</v>
      </c>
      <c r="D338" s="1" t="s">
        <v>94</v>
      </c>
      <c r="E338" s="1" t="str">
        <f>_xlfn.IFNA(VLOOKUP(Apps[[#This Row],[PostID]],Posts[[PostID]:[Position]],2,0),"")</f>
        <v>Farm Manager</v>
      </c>
      <c r="F338" s="4">
        <v>45365</v>
      </c>
      <c r="G338" s="3" t="s">
        <v>3539</v>
      </c>
      <c r="M338" s="3"/>
    </row>
    <row r="339" spans="1:16" x14ac:dyDescent="0.3">
      <c r="A339" s="1" t="s">
        <v>3191</v>
      </c>
      <c r="B339" s="1" t="s">
        <v>2559</v>
      </c>
      <c r="C339" s="1" t="str">
        <f>VLOOKUP(Apps[[#This Row],[CandID]],Cands[[CandID]:[Cand_Name]],2,0)</f>
        <v>Uk Sokun</v>
      </c>
      <c r="D339" s="1" t="s">
        <v>105</v>
      </c>
      <c r="E339" s="1" t="str">
        <f>_xlfn.IFNA(VLOOKUP(Apps[[#This Row],[PostID]],Posts[[PostID]:[Position]],2,0),"")</f>
        <v>Deputy IT Manager</v>
      </c>
      <c r="F339" s="4">
        <v>45365</v>
      </c>
      <c r="G339" s="3" t="s">
        <v>3539</v>
      </c>
      <c r="M339" s="3"/>
    </row>
    <row r="340" spans="1:16" x14ac:dyDescent="0.3">
      <c r="A340" s="1" t="s">
        <v>3192</v>
      </c>
      <c r="B340" s="1" t="s">
        <v>2560</v>
      </c>
      <c r="C340" s="1" t="str">
        <f>VLOOKUP(Apps[[#This Row],[CandID]],Cands[[CandID]:[Cand_Name]],2,0)</f>
        <v>Pai Vannary</v>
      </c>
      <c r="D340" s="1" t="s">
        <v>106</v>
      </c>
      <c r="E340" s="1" t="str">
        <f>_xlfn.IFNA(VLOOKUP(Apps[[#This Row],[PostID]],Posts[[PostID]:[Position]],2,0),"")</f>
        <v>Senior Accounting Officer</v>
      </c>
      <c r="F340" s="4">
        <v>45365</v>
      </c>
      <c r="G340" s="3" t="s">
        <v>3539</v>
      </c>
      <c r="M340" s="3"/>
    </row>
    <row r="341" spans="1:16" x14ac:dyDescent="0.3">
      <c r="A341" s="1" t="s">
        <v>3193</v>
      </c>
      <c r="B341" s="1" t="s">
        <v>2561</v>
      </c>
      <c r="C341" s="1" t="str">
        <f>VLOOKUP(Apps[[#This Row],[CandID]],Cands[[CandID]:[Cand_Name]],2,0)</f>
        <v>Rith Punleu</v>
      </c>
      <c r="D341" s="1" t="s">
        <v>105</v>
      </c>
      <c r="E341" s="1" t="str">
        <f>_xlfn.IFNA(VLOOKUP(Apps[[#This Row],[PostID]],Posts[[PostID]:[Position]],2,0),"")</f>
        <v>Deputy IT Manager</v>
      </c>
      <c r="F341" s="4">
        <v>45365</v>
      </c>
      <c r="G341" s="3" t="s">
        <v>3539</v>
      </c>
      <c r="M341" s="3"/>
    </row>
    <row r="342" spans="1:16" x14ac:dyDescent="0.3">
      <c r="A342" s="1" t="s">
        <v>3194</v>
      </c>
      <c r="B342" s="1" t="s">
        <v>2562</v>
      </c>
      <c r="C342" s="1" t="str">
        <f>VLOOKUP(Apps[[#This Row],[CandID]],Cands[[CandID]:[Cand_Name]],2,0)</f>
        <v>Tith Sambo</v>
      </c>
      <c r="D342" s="1" t="s">
        <v>1115</v>
      </c>
      <c r="E342" s="1" t="str">
        <f>_xlfn.IFNA(VLOOKUP(Apps[[#This Row],[PostID]],Posts[[PostID]:[Position]],2,0),"")</f>
        <v/>
      </c>
      <c r="F342" s="4">
        <v>45366</v>
      </c>
      <c r="G342" s="3" t="s">
        <v>2845</v>
      </c>
      <c r="H342" s="8" t="s">
        <v>3477</v>
      </c>
      <c r="I342" s="4">
        <v>45292</v>
      </c>
      <c r="J342" s="4">
        <v>45366</v>
      </c>
      <c r="M342" s="3"/>
      <c r="O342" s="5">
        <v>1600</v>
      </c>
      <c r="P342" s="5">
        <v>2000</v>
      </c>
    </row>
    <row r="343" spans="1:16" x14ac:dyDescent="0.3">
      <c r="A343" s="1" t="s">
        <v>3195</v>
      </c>
      <c r="B343" s="1" t="s">
        <v>2563</v>
      </c>
      <c r="C343" s="1" t="str">
        <f>VLOOKUP(Apps[[#This Row],[CandID]],Cands[[CandID]:[Cand_Name]],2,0)</f>
        <v>Phoeurn Vichheka</v>
      </c>
      <c r="D343" s="1" t="s">
        <v>106</v>
      </c>
      <c r="E343" s="1" t="str">
        <f>_xlfn.IFNA(VLOOKUP(Apps[[#This Row],[PostID]],Posts[[PostID]:[Position]],2,0),"")</f>
        <v>Senior Accounting Officer</v>
      </c>
      <c r="F343" s="4">
        <v>45366</v>
      </c>
      <c r="G343" s="3" t="s">
        <v>2848</v>
      </c>
      <c r="H343" s="8" t="s">
        <v>3475</v>
      </c>
      <c r="K343" s="8" t="s">
        <v>3521</v>
      </c>
      <c r="M343" s="3"/>
    </row>
    <row r="344" spans="1:16" x14ac:dyDescent="0.3">
      <c r="A344" s="1" t="s">
        <v>3196</v>
      </c>
      <c r="B344" s="1" t="s">
        <v>2564</v>
      </c>
      <c r="C344" s="1" t="str">
        <f>VLOOKUP(Apps[[#This Row],[CandID]],Cands[[CandID]:[Cand_Name]],2,0)</f>
        <v>Lek Tey</v>
      </c>
      <c r="D344" s="1" t="s">
        <v>106</v>
      </c>
      <c r="E344" s="1" t="str">
        <f>_xlfn.IFNA(VLOOKUP(Apps[[#This Row],[PostID]],Posts[[PostID]:[Position]],2,0),"")</f>
        <v>Senior Accounting Officer</v>
      </c>
      <c r="F344" s="4">
        <v>45366</v>
      </c>
      <c r="G344" s="3" t="s">
        <v>2848</v>
      </c>
      <c r="M344" s="3"/>
    </row>
    <row r="345" spans="1:16" x14ac:dyDescent="0.3">
      <c r="A345" s="1" t="s">
        <v>3197</v>
      </c>
      <c r="B345" s="1" t="s">
        <v>2565</v>
      </c>
      <c r="C345" s="1" t="str">
        <f>VLOOKUP(Apps[[#This Row],[CandID]],Cands[[CandID]:[Cand_Name]],2,0)</f>
        <v>Pho Kunthy</v>
      </c>
      <c r="D345" s="1" t="s">
        <v>106</v>
      </c>
      <c r="E345" s="1" t="str">
        <f>_xlfn.IFNA(VLOOKUP(Apps[[#This Row],[PostID]],Posts[[PostID]:[Position]],2,0),"")</f>
        <v>Senior Accounting Officer</v>
      </c>
      <c r="F345" s="4">
        <v>45366</v>
      </c>
      <c r="G345" s="3" t="s">
        <v>2848</v>
      </c>
      <c r="M345" s="3"/>
    </row>
    <row r="346" spans="1:16" x14ac:dyDescent="0.3">
      <c r="A346" s="1" t="s">
        <v>3198</v>
      </c>
      <c r="B346" s="1" t="s">
        <v>2566</v>
      </c>
      <c r="C346" s="1" t="str">
        <f>VLOOKUP(Apps[[#This Row],[CandID]],Cands[[CandID]:[Cand_Name]],2,0)</f>
        <v>Ieng Rathsomsak</v>
      </c>
      <c r="D346" s="1" t="s">
        <v>99</v>
      </c>
      <c r="E346" s="1" t="str">
        <f>_xlfn.IFNA(VLOOKUP(Apps[[#This Row],[PostID]],Posts[[PostID]:[Position]],2,0),"")</f>
        <v>Deputy Marketing Manager (event)</v>
      </c>
      <c r="F346" s="4">
        <v>45366</v>
      </c>
      <c r="G346" s="3" t="s">
        <v>3539</v>
      </c>
      <c r="M346" s="3"/>
    </row>
    <row r="347" spans="1:16" x14ac:dyDescent="0.3">
      <c r="A347" s="1" t="s">
        <v>3199</v>
      </c>
      <c r="B347" s="1" t="s">
        <v>2567</v>
      </c>
      <c r="C347" s="1" t="str">
        <f>VLOOKUP(Apps[[#This Row],[CandID]],Cands[[CandID]:[Cand_Name]],2,0)</f>
        <v>Siem Sinoun</v>
      </c>
      <c r="D347" s="1" t="s">
        <v>99</v>
      </c>
      <c r="E347" s="1" t="str">
        <f>_xlfn.IFNA(VLOOKUP(Apps[[#This Row],[PostID]],Posts[[PostID]:[Position]],2,0),"")</f>
        <v>Deputy Marketing Manager (event)</v>
      </c>
      <c r="F347" s="4">
        <v>45366</v>
      </c>
      <c r="G347" s="3" t="s">
        <v>3539</v>
      </c>
      <c r="M347" s="3"/>
    </row>
    <row r="348" spans="1:16" x14ac:dyDescent="0.3">
      <c r="A348" s="1" t="s">
        <v>3200</v>
      </c>
      <c r="B348" s="1" t="s">
        <v>2568</v>
      </c>
      <c r="C348" s="1" t="str">
        <f>VLOOKUP(Apps[[#This Row],[CandID]],Cands[[CandID]:[Cand_Name]],2,0)</f>
        <v>Teng Sakada</v>
      </c>
      <c r="D348" s="1" t="s">
        <v>105</v>
      </c>
      <c r="E348" s="1" t="str">
        <f>_xlfn.IFNA(VLOOKUP(Apps[[#This Row],[PostID]],Posts[[PostID]:[Position]],2,0),"")</f>
        <v>Deputy IT Manager</v>
      </c>
      <c r="F348" s="4">
        <v>45366</v>
      </c>
      <c r="G348" s="3" t="s">
        <v>3539</v>
      </c>
      <c r="H348" s="8" t="s">
        <v>3475</v>
      </c>
      <c r="K348" s="8" t="s">
        <v>3521</v>
      </c>
      <c r="M348" s="3"/>
    </row>
    <row r="349" spans="1:16" x14ac:dyDescent="0.3">
      <c r="A349" s="1" t="s">
        <v>3201</v>
      </c>
      <c r="B349" s="1" t="s">
        <v>2569</v>
      </c>
      <c r="C349" s="1" t="str">
        <f>VLOOKUP(Apps[[#This Row],[CandID]],Cands[[CandID]:[Cand_Name]],2,0)</f>
        <v>Sary Mongkol</v>
      </c>
      <c r="D349" s="1" t="s">
        <v>106</v>
      </c>
      <c r="E349" s="1" t="str">
        <f>_xlfn.IFNA(VLOOKUP(Apps[[#This Row],[PostID]],Posts[[PostID]:[Position]],2,0),"")</f>
        <v>Senior Accounting Officer</v>
      </c>
      <c r="F349" s="4">
        <v>45366</v>
      </c>
      <c r="G349" s="3" t="s">
        <v>2848</v>
      </c>
      <c r="M349" s="3"/>
    </row>
    <row r="350" spans="1:16" x14ac:dyDescent="0.3">
      <c r="A350" s="1" t="s">
        <v>3202</v>
      </c>
      <c r="B350" s="1" t="s">
        <v>2570</v>
      </c>
      <c r="C350" s="1" t="str">
        <f>VLOOKUP(Apps[[#This Row],[CandID]],Cands[[CandID]:[Cand_Name]],2,0)</f>
        <v>Sea Sothea</v>
      </c>
      <c r="D350" s="1" t="s">
        <v>105</v>
      </c>
      <c r="E350" s="1" t="str">
        <f>_xlfn.IFNA(VLOOKUP(Apps[[#This Row],[PostID]],Posts[[PostID]:[Position]],2,0),"")</f>
        <v>Deputy IT Manager</v>
      </c>
      <c r="F350" s="4">
        <v>45367</v>
      </c>
      <c r="G350" s="3" t="s">
        <v>3539</v>
      </c>
      <c r="H350" s="8" t="s">
        <v>3477</v>
      </c>
      <c r="I350" s="4">
        <v>45378</v>
      </c>
      <c r="K350" s="8" t="s">
        <v>3521</v>
      </c>
      <c r="M350" s="3"/>
      <c r="N350" s="3" t="s">
        <v>3477</v>
      </c>
      <c r="O350" s="5">
        <v>450</v>
      </c>
      <c r="P350" s="5">
        <v>550</v>
      </c>
    </row>
    <row r="351" spans="1:16" x14ac:dyDescent="0.3">
      <c r="A351" s="1" t="s">
        <v>3203</v>
      </c>
      <c r="B351" s="1" t="s">
        <v>2571</v>
      </c>
      <c r="C351" s="1" t="str">
        <f>VLOOKUP(Apps[[#This Row],[CandID]],Cands[[CandID]:[Cand_Name]],2,0)</f>
        <v>Lenh Phary</v>
      </c>
      <c r="D351" s="1" t="s">
        <v>105</v>
      </c>
      <c r="E351" s="1" t="str">
        <f>_xlfn.IFNA(VLOOKUP(Apps[[#This Row],[PostID]],Posts[[PostID]:[Position]],2,0),"")</f>
        <v>Deputy IT Manager</v>
      </c>
      <c r="F351" s="4">
        <v>45367</v>
      </c>
      <c r="G351" s="3" t="s">
        <v>3539</v>
      </c>
      <c r="H351" s="8" t="s">
        <v>3475</v>
      </c>
      <c r="K351" s="8" t="s">
        <v>3521</v>
      </c>
      <c r="M351" s="3"/>
    </row>
    <row r="352" spans="1:16" x14ac:dyDescent="0.3">
      <c r="A352" s="1" t="s">
        <v>3204</v>
      </c>
      <c r="B352" s="1" t="s">
        <v>2572</v>
      </c>
      <c r="C352" s="1" t="str">
        <f>VLOOKUP(Apps[[#This Row],[CandID]],Cands[[CandID]:[Cand_Name]],2,0)</f>
        <v>Kan Ratanak</v>
      </c>
      <c r="D352" s="1" t="s">
        <v>94</v>
      </c>
      <c r="E352" s="1" t="str">
        <f>_xlfn.IFNA(VLOOKUP(Apps[[#This Row],[PostID]],Posts[[PostID]:[Position]],2,0),"")</f>
        <v>Farm Manager</v>
      </c>
      <c r="F352" s="4">
        <v>45367</v>
      </c>
      <c r="G352" s="3" t="s">
        <v>3539</v>
      </c>
      <c r="M352" s="3"/>
    </row>
    <row r="353" spans="1:16" x14ac:dyDescent="0.3">
      <c r="A353" s="1" t="s">
        <v>3205</v>
      </c>
      <c r="B353" s="1" t="s">
        <v>2573</v>
      </c>
      <c r="C353" s="1" t="str">
        <f>VLOOKUP(Apps[[#This Row],[CandID]],Cands[[CandID]:[Cand_Name]],2,0)</f>
        <v>Korn Laosear</v>
      </c>
      <c r="D353" s="1" t="s">
        <v>100</v>
      </c>
      <c r="E353" s="1" t="str">
        <f>_xlfn.IFNA(VLOOKUP(Apps[[#This Row],[PostID]],Posts[[PostID]:[Position]],2,0),"")</f>
        <v>Sales Director</v>
      </c>
      <c r="F353" s="4">
        <v>45368</v>
      </c>
      <c r="G353" s="3" t="s">
        <v>2848</v>
      </c>
      <c r="H353" s="8" t="s">
        <v>3477</v>
      </c>
      <c r="I353" s="4">
        <v>45372</v>
      </c>
      <c r="M353" s="3"/>
      <c r="O353" s="5">
        <v>250</v>
      </c>
      <c r="P353" s="5">
        <v>300</v>
      </c>
    </row>
    <row r="354" spans="1:16" x14ac:dyDescent="0.3">
      <c r="A354" s="1" t="s">
        <v>3206</v>
      </c>
      <c r="B354" s="1" t="s">
        <v>2574</v>
      </c>
      <c r="C354" s="1" t="str">
        <f>VLOOKUP(Apps[[#This Row],[CandID]],Cands[[CandID]:[Cand_Name]],2,0)</f>
        <v>Bun Sarat</v>
      </c>
      <c r="D354" s="1" t="s">
        <v>99</v>
      </c>
      <c r="E354" s="1" t="str">
        <f>_xlfn.IFNA(VLOOKUP(Apps[[#This Row],[PostID]],Posts[[PostID]:[Position]],2,0),"")</f>
        <v>Deputy Marketing Manager (event)</v>
      </c>
      <c r="F354" s="4">
        <v>45368</v>
      </c>
      <c r="G354" s="3" t="s">
        <v>3539</v>
      </c>
      <c r="M354" s="3"/>
    </row>
    <row r="355" spans="1:16" x14ac:dyDescent="0.3">
      <c r="A355" s="1" t="s">
        <v>3207</v>
      </c>
      <c r="B355" s="1" t="s">
        <v>2575</v>
      </c>
      <c r="C355" s="1" t="str">
        <f>VLOOKUP(Apps[[#This Row],[CandID]],Cands[[CandID]:[Cand_Name]],2,0)</f>
        <v>Neang Touch</v>
      </c>
      <c r="D355" s="1" t="s">
        <v>99</v>
      </c>
      <c r="E355" s="1" t="str">
        <f>_xlfn.IFNA(VLOOKUP(Apps[[#This Row],[PostID]],Posts[[PostID]:[Position]],2,0),"")</f>
        <v>Deputy Marketing Manager (event)</v>
      </c>
      <c r="F355" s="4">
        <v>45368</v>
      </c>
      <c r="G355" s="3" t="s">
        <v>3539</v>
      </c>
      <c r="M355" s="3"/>
    </row>
    <row r="356" spans="1:16" x14ac:dyDescent="0.3">
      <c r="A356" s="1" t="s">
        <v>3208</v>
      </c>
      <c r="B356" s="1" t="s">
        <v>2576</v>
      </c>
      <c r="C356" s="1" t="str">
        <f>VLOOKUP(Apps[[#This Row],[CandID]],Cands[[CandID]:[Cand_Name]],2,0)</f>
        <v>Nil Dinna</v>
      </c>
      <c r="D356" s="1" t="s">
        <v>105</v>
      </c>
      <c r="E356" s="1" t="str">
        <f>_xlfn.IFNA(VLOOKUP(Apps[[#This Row],[PostID]],Posts[[PostID]:[Position]],2,0),"")</f>
        <v>Deputy IT Manager</v>
      </c>
      <c r="F356" s="4">
        <v>45368</v>
      </c>
      <c r="G356" s="3" t="s">
        <v>3539</v>
      </c>
      <c r="H356" s="8" t="s">
        <v>3477</v>
      </c>
      <c r="I356" s="4">
        <v>45378</v>
      </c>
      <c r="M356" s="3"/>
      <c r="O356" s="5">
        <v>3000</v>
      </c>
      <c r="P356" s="5">
        <v>1200</v>
      </c>
    </row>
    <row r="357" spans="1:16" x14ac:dyDescent="0.3">
      <c r="A357" s="1" t="s">
        <v>3209</v>
      </c>
      <c r="B357" s="1" t="s">
        <v>2577</v>
      </c>
      <c r="C357" s="1" t="str">
        <f>VLOOKUP(Apps[[#This Row],[CandID]],Cands[[CandID]:[Cand_Name]],2,0)</f>
        <v>Nuon Borei</v>
      </c>
      <c r="D357" s="1" t="s">
        <v>99</v>
      </c>
      <c r="E357" s="1" t="str">
        <f>_xlfn.IFNA(VLOOKUP(Apps[[#This Row],[PostID]],Posts[[PostID]:[Position]],2,0),"")</f>
        <v>Deputy Marketing Manager (event)</v>
      </c>
      <c r="F357" s="4">
        <v>45368</v>
      </c>
      <c r="G357" s="3" t="s">
        <v>3539</v>
      </c>
      <c r="M357" s="3"/>
    </row>
    <row r="358" spans="1:16" x14ac:dyDescent="0.3">
      <c r="A358" s="1" t="s">
        <v>3210</v>
      </c>
      <c r="B358" s="1" t="s">
        <v>2578</v>
      </c>
      <c r="C358" s="1" t="str">
        <f>VLOOKUP(Apps[[#This Row],[CandID]],Cands[[CandID]:[Cand_Name]],2,0)</f>
        <v>Bou Panha</v>
      </c>
      <c r="D358" s="1" t="s">
        <v>99</v>
      </c>
      <c r="E358" s="1" t="str">
        <f>_xlfn.IFNA(VLOOKUP(Apps[[#This Row],[PostID]],Posts[[PostID]:[Position]],2,0),"")</f>
        <v>Deputy Marketing Manager (event)</v>
      </c>
      <c r="F358" s="4">
        <v>45369</v>
      </c>
      <c r="G358" s="3" t="s">
        <v>3539</v>
      </c>
      <c r="M358" s="3"/>
    </row>
    <row r="359" spans="1:16" x14ac:dyDescent="0.3">
      <c r="A359" s="1" t="s">
        <v>3211</v>
      </c>
      <c r="B359" s="1" t="s">
        <v>2579</v>
      </c>
      <c r="C359" s="1" t="str">
        <f>VLOOKUP(Apps[[#This Row],[CandID]],Cands[[CandID]:[Cand_Name]],2,0)</f>
        <v>John Son Dara</v>
      </c>
      <c r="D359" s="1" t="s">
        <v>114</v>
      </c>
      <c r="E359" s="1" t="str">
        <f>_xlfn.IFNA(VLOOKUP(Apps[[#This Row],[PostID]],Posts[[PostID]:[Position]],2,0),"")</f>
        <v>Driver</v>
      </c>
      <c r="F359" s="4">
        <v>45369</v>
      </c>
      <c r="G359" s="3" t="s">
        <v>2848</v>
      </c>
      <c r="H359" s="8" t="s">
        <v>3475</v>
      </c>
      <c r="K359" s="8" t="s">
        <v>3521</v>
      </c>
      <c r="M359" s="3"/>
    </row>
    <row r="360" spans="1:16" x14ac:dyDescent="0.3">
      <c r="A360" s="1" t="s">
        <v>3212</v>
      </c>
      <c r="B360" s="1" t="s">
        <v>2580</v>
      </c>
      <c r="C360" s="1" t="str">
        <f>VLOOKUP(Apps[[#This Row],[CandID]],Cands[[CandID]:[Cand_Name]],2,0)</f>
        <v>Nget Sambo</v>
      </c>
      <c r="D360" s="1" t="s">
        <v>114</v>
      </c>
      <c r="E360" s="1" t="str">
        <f>_xlfn.IFNA(VLOOKUP(Apps[[#This Row],[PostID]],Posts[[PostID]:[Position]],2,0),"")</f>
        <v>Driver</v>
      </c>
      <c r="F360" s="4">
        <v>45369</v>
      </c>
      <c r="G360" s="3" t="s">
        <v>2848</v>
      </c>
      <c r="M360" s="3"/>
    </row>
    <row r="361" spans="1:16" x14ac:dyDescent="0.3">
      <c r="A361" s="1" t="s">
        <v>3213</v>
      </c>
      <c r="B361" s="1" t="s">
        <v>2581</v>
      </c>
      <c r="C361" s="1" t="str">
        <f>VLOOKUP(Apps[[#This Row],[CandID]],Cands[[CandID]:[Cand_Name]],2,0)</f>
        <v>Sao Somnang</v>
      </c>
      <c r="D361" s="1" t="s">
        <v>114</v>
      </c>
      <c r="E361" s="1" t="str">
        <f>_xlfn.IFNA(VLOOKUP(Apps[[#This Row],[PostID]],Posts[[PostID]:[Position]],2,0),"")</f>
        <v>Driver</v>
      </c>
      <c r="F361" s="4">
        <v>45369</v>
      </c>
      <c r="G361" s="3" t="s">
        <v>2848</v>
      </c>
      <c r="H361" s="8" t="s">
        <v>3475</v>
      </c>
      <c r="K361" s="8" t="s">
        <v>3521</v>
      </c>
      <c r="M361" s="3"/>
    </row>
    <row r="362" spans="1:16" x14ac:dyDescent="0.3">
      <c r="A362" s="1" t="s">
        <v>3214</v>
      </c>
      <c r="B362" s="1" t="s">
        <v>2582</v>
      </c>
      <c r="C362" s="1" t="str">
        <f>VLOOKUP(Apps[[#This Row],[CandID]],Cands[[CandID]:[Cand_Name]],2,0)</f>
        <v>Hai Sophea</v>
      </c>
      <c r="D362" s="1" t="s">
        <v>114</v>
      </c>
      <c r="E362" s="1" t="str">
        <f>_xlfn.IFNA(VLOOKUP(Apps[[#This Row],[PostID]],Posts[[PostID]:[Position]],2,0),"")</f>
        <v>Driver</v>
      </c>
      <c r="F362" s="4">
        <v>45369</v>
      </c>
      <c r="G362" s="3" t="s">
        <v>2848</v>
      </c>
      <c r="H362" s="8" t="s">
        <v>3475</v>
      </c>
      <c r="K362" s="8" t="s">
        <v>3521</v>
      </c>
      <c r="M362" s="3"/>
    </row>
    <row r="363" spans="1:16" x14ac:dyDescent="0.3">
      <c r="A363" s="1" t="s">
        <v>3215</v>
      </c>
      <c r="B363" s="1" t="s">
        <v>2583</v>
      </c>
      <c r="C363" s="1" t="str">
        <f>VLOOKUP(Apps[[#This Row],[CandID]],Cands[[CandID]:[Cand_Name]],2,0)</f>
        <v>Eam Limsrun</v>
      </c>
      <c r="D363" s="1" t="s">
        <v>105</v>
      </c>
      <c r="E363" s="1" t="str">
        <f>_xlfn.IFNA(VLOOKUP(Apps[[#This Row],[PostID]],Posts[[PostID]:[Position]],2,0),"")</f>
        <v>Deputy IT Manager</v>
      </c>
      <c r="F363" s="4">
        <v>45369</v>
      </c>
      <c r="G363" s="3" t="s">
        <v>3539</v>
      </c>
      <c r="H363" s="8" t="s">
        <v>3477</v>
      </c>
      <c r="I363" s="4">
        <v>45378</v>
      </c>
      <c r="M363" s="3"/>
      <c r="O363" s="5">
        <v>550</v>
      </c>
      <c r="P363" s="5">
        <v>580</v>
      </c>
    </row>
    <row r="364" spans="1:16" x14ac:dyDescent="0.3">
      <c r="A364" s="1" t="s">
        <v>3216</v>
      </c>
      <c r="B364" s="1" t="s">
        <v>2584</v>
      </c>
      <c r="C364" s="1" t="str">
        <f>VLOOKUP(Apps[[#This Row],[CandID]],Cands[[CandID]:[Cand_Name]],2,0)</f>
        <v>Nuth Pumphano</v>
      </c>
      <c r="D364" s="1" t="s">
        <v>105</v>
      </c>
      <c r="E364" s="1" t="str">
        <f>_xlfn.IFNA(VLOOKUP(Apps[[#This Row],[PostID]],Posts[[PostID]:[Position]],2,0),"")</f>
        <v>Deputy IT Manager</v>
      </c>
      <c r="F364" s="4">
        <v>45369</v>
      </c>
      <c r="G364" s="3" t="s">
        <v>3539</v>
      </c>
      <c r="M364" s="3"/>
    </row>
    <row r="365" spans="1:16" x14ac:dyDescent="0.3">
      <c r="A365" s="1" t="s">
        <v>3217</v>
      </c>
      <c r="B365" s="1" t="s">
        <v>2585</v>
      </c>
      <c r="C365" s="1" t="str">
        <f>VLOOKUP(Apps[[#This Row],[CandID]],Cands[[CandID]:[Cand_Name]],2,0)</f>
        <v>Phin Saphea</v>
      </c>
      <c r="D365" s="1" t="s">
        <v>114</v>
      </c>
      <c r="E365" s="1" t="str">
        <f>_xlfn.IFNA(VLOOKUP(Apps[[#This Row],[PostID]],Posts[[PostID]:[Position]],2,0),"")</f>
        <v>Driver</v>
      </c>
      <c r="F365" s="4">
        <v>45369</v>
      </c>
      <c r="G365" s="3" t="s">
        <v>2848</v>
      </c>
      <c r="M365" s="3"/>
    </row>
    <row r="366" spans="1:16" x14ac:dyDescent="0.3">
      <c r="A366" s="1" t="s">
        <v>3218</v>
      </c>
      <c r="B366" s="1" t="s">
        <v>2586</v>
      </c>
      <c r="C366" s="1" t="str">
        <f>VLOOKUP(Apps[[#This Row],[CandID]],Cands[[CandID]:[Cand_Name]],2,0)</f>
        <v>Phlong Kanika</v>
      </c>
      <c r="D366" s="1" t="s">
        <v>106</v>
      </c>
      <c r="E366" s="1" t="str">
        <f>_xlfn.IFNA(VLOOKUP(Apps[[#This Row],[PostID]],Posts[[PostID]:[Position]],2,0),"")</f>
        <v>Senior Accounting Officer</v>
      </c>
      <c r="F366" s="4">
        <v>45370</v>
      </c>
      <c r="G366" s="3" t="s">
        <v>2848</v>
      </c>
      <c r="M366" s="3"/>
    </row>
    <row r="367" spans="1:16" x14ac:dyDescent="0.3">
      <c r="A367" s="1" t="s">
        <v>3219</v>
      </c>
      <c r="B367" s="1" t="s">
        <v>2587</v>
      </c>
      <c r="C367" s="1" t="str">
        <f>VLOOKUP(Apps[[#This Row],[CandID]],Cands[[CandID]:[Cand_Name]],2,0)</f>
        <v>Oum Sereywath</v>
      </c>
      <c r="D367" s="1" t="s">
        <v>105</v>
      </c>
      <c r="E367" s="1" t="str">
        <f>_xlfn.IFNA(VLOOKUP(Apps[[#This Row],[PostID]],Posts[[PostID]:[Position]],2,0),"")</f>
        <v>Deputy IT Manager</v>
      </c>
      <c r="F367" s="4">
        <v>45370</v>
      </c>
      <c r="G367" s="3" t="s">
        <v>3539</v>
      </c>
      <c r="M367" s="3"/>
    </row>
    <row r="368" spans="1:16" x14ac:dyDescent="0.3">
      <c r="A368" s="1" t="s">
        <v>3220</v>
      </c>
      <c r="B368" s="1" t="s">
        <v>2588</v>
      </c>
      <c r="C368" s="1" t="str">
        <f>VLOOKUP(Apps[[#This Row],[CandID]],Cands[[CandID]:[Cand_Name]],2,0)</f>
        <v>Shol Srey Neat</v>
      </c>
      <c r="D368" s="1" t="s">
        <v>94</v>
      </c>
      <c r="E368" s="1" t="str">
        <f>_xlfn.IFNA(VLOOKUP(Apps[[#This Row],[PostID]],Posts[[PostID]:[Position]],2,0),"")</f>
        <v>Farm Manager</v>
      </c>
      <c r="F368" s="4">
        <v>45370</v>
      </c>
      <c r="G368" s="3" t="s">
        <v>3539</v>
      </c>
      <c r="M368" s="3"/>
    </row>
    <row r="369" spans="1:16" x14ac:dyDescent="0.3">
      <c r="A369" s="1" t="s">
        <v>3221</v>
      </c>
      <c r="B369" s="1" t="s">
        <v>2589</v>
      </c>
      <c r="C369" s="1" t="str">
        <f>VLOOKUP(Apps[[#This Row],[CandID]],Cands[[CandID]:[Cand_Name]],2,0)</f>
        <v>Nuth Vibol</v>
      </c>
      <c r="D369" s="1" t="s">
        <v>99</v>
      </c>
      <c r="E369" s="1" t="str">
        <f>_xlfn.IFNA(VLOOKUP(Apps[[#This Row],[PostID]],Posts[[PostID]:[Position]],2,0),"")</f>
        <v>Deputy Marketing Manager (event)</v>
      </c>
      <c r="F369" s="4">
        <v>45371</v>
      </c>
      <c r="G369" s="3" t="s">
        <v>2848</v>
      </c>
      <c r="M369" s="3"/>
    </row>
    <row r="370" spans="1:16" x14ac:dyDescent="0.3">
      <c r="A370" s="1" t="s">
        <v>3222</v>
      </c>
      <c r="B370" s="1" t="s">
        <v>2590</v>
      </c>
      <c r="C370" s="1" t="str">
        <f>VLOOKUP(Apps[[#This Row],[CandID]],Cands[[CandID]:[Cand_Name]],2,0)</f>
        <v>Lan Silo</v>
      </c>
      <c r="D370" s="1" t="s">
        <v>94</v>
      </c>
      <c r="E370" s="1" t="str">
        <f>_xlfn.IFNA(VLOOKUP(Apps[[#This Row],[PostID]],Posts[[PostID]:[Position]],2,0),"")</f>
        <v>Farm Manager</v>
      </c>
      <c r="F370" s="4">
        <v>45371</v>
      </c>
      <c r="G370" s="3" t="s">
        <v>3539</v>
      </c>
      <c r="H370" s="8" t="s">
        <v>3475</v>
      </c>
      <c r="K370" s="8" t="s">
        <v>3521</v>
      </c>
      <c r="M370" s="3"/>
    </row>
    <row r="371" spans="1:16" x14ac:dyDescent="0.3">
      <c r="A371" s="1" t="s">
        <v>3223</v>
      </c>
      <c r="B371" s="1" t="s">
        <v>2591</v>
      </c>
      <c r="C371" s="1" t="str">
        <f>VLOOKUP(Apps[[#This Row],[CandID]],Cands[[CandID]:[Cand_Name]],2,0)</f>
        <v>Sourn Narat</v>
      </c>
      <c r="D371" s="1" t="s">
        <v>100</v>
      </c>
      <c r="E371" s="1" t="str">
        <f>_xlfn.IFNA(VLOOKUP(Apps[[#This Row],[PostID]],Posts[[PostID]:[Position]],2,0),"")</f>
        <v>Sales Director</v>
      </c>
      <c r="F371" s="4">
        <v>45371</v>
      </c>
      <c r="G371" s="3" t="s">
        <v>2848</v>
      </c>
      <c r="M371" s="3"/>
    </row>
    <row r="372" spans="1:16" x14ac:dyDescent="0.3">
      <c r="A372" s="1" t="s">
        <v>3224</v>
      </c>
      <c r="B372" s="1" t="s">
        <v>2592</v>
      </c>
      <c r="C372" s="1" t="str">
        <f>VLOOKUP(Apps[[#This Row],[CandID]],Cands[[CandID]:[Cand_Name]],2,0)</f>
        <v>Nguon Leanghun</v>
      </c>
      <c r="D372" s="1" t="s">
        <v>106</v>
      </c>
      <c r="E372" s="1" t="str">
        <f>_xlfn.IFNA(VLOOKUP(Apps[[#This Row],[PostID]],Posts[[PostID]:[Position]],2,0),"")</f>
        <v>Senior Accounting Officer</v>
      </c>
      <c r="F372" s="4">
        <v>45372</v>
      </c>
      <c r="G372" s="3" t="s">
        <v>2848</v>
      </c>
      <c r="M372" s="3"/>
    </row>
    <row r="373" spans="1:16" x14ac:dyDescent="0.3">
      <c r="A373" s="1" t="s">
        <v>3225</v>
      </c>
      <c r="B373" s="1" t="s">
        <v>2593</v>
      </c>
      <c r="C373" s="1" t="str">
        <f>VLOOKUP(Apps[[#This Row],[CandID]],Cands[[CandID]:[Cand_Name]],2,0)</f>
        <v>Liv Chhaya</v>
      </c>
      <c r="D373" s="1" t="s">
        <v>125</v>
      </c>
      <c r="E373" s="1" t="str">
        <f>_xlfn.IFNA(VLOOKUP(Apps[[#This Row],[PostID]],Posts[[PostID]:[Position]],2,0),"")</f>
        <v>Project Accounting Officer</v>
      </c>
      <c r="F373" s="4">
        <v>45373</v>
      </c>
      <c r="G373" s="3" t="s">
        <v>2848</v>
      </c>
      <c r="M373" s="3"/>
    </row>
    <row r="374" spans="1:16" x14ac:dyDescent="0.3">
      <c r="A374" s="1" t="s">
        <v>3226</v>
      </c>
      <c r="B374" s="1" t="s">
        <v>2594</v>
      </c>
      <c r="C374" s="1" t="str">
        <f>VLOOKUP(Apps[[#This Row],[CandID]],Cands[[CandID]:[Cand_Name]],2,0)</f>
        <v>Suong Savisna</v>
      </c>
      <c r="D374" s="1" t="s">
        <v>105</v>
      </c>
      <c r="E374" s="1" t="str">
        <f>_xlfn.IFNA(VLOOKUP(Apps[[#This Row],[PostID]],Posts[[PostID]:[Position]],2,0),"")</f>
        <v>Deputy IT Manager</v>
      </c>
      <c r="F374" s="4">
        <v>45374</v>
      </c>
      <c r="G374" s="3" t="s">
        <v>3539</v>
      </c>
      <c r="H374" s="8" t="s">
        <v>3477</v>
      </c>
      <c r="I374" s="4">
        <v>45385</v>
      </c>
      <c r="J374" s="4">
        <v>45411</v>
      </c>
      <c r="K374" s="8" t="s">
        <v>3521</v>
      </c>
      <c r="M374" s="3"/>
      <c r="N374" s="3" t="s">
        <v>3477</v>
      </c>
      <c r="O374" s="5">
        <v>850</v>
      </c>
      <c r="P374" s="5">
        <v>1500</v>
      </c>
    </row>
    <row r="375" spans="1:16" x14ac:dyDescent="0.3">
      <c r="A375" s="1" t="s">
        <v>3227</v>
      </c>
      <c r="B375" s="1" t="s">
        <v>2595</v>
      </c>
      <c r="C375" s="1" t="str">
        <f>VLOOKUP(Apps[[#This Row],[CandID]],Cands[[CandID]:[Cand_Name]],2,0)</f>
        <v>Vorn Saravuth</v>
      </c>
      <c r="D375" s="1" t="s">
        <v>100</v>
      </c>
      <c r="E375" s="1" t="str">
        <f>_xlfn.IFNA(VLOOKUP(Apps[[#This Row],[PostID]],Posts[[PostID]:[Position]],2,0),"")</f>
        <v>Sales Director</v>
      </c>
      <c r="F375" s="4">
        <v>45376</v>
      </c>
      <c r="G375" s="3" t="s">
        <v>2848</v>
      </c>
      <c r="H375" s="8" t="s">
        <v>3477</v>
      </c>
      <c r="I375" s="4">
        <v>45377</v>
      </c>
      <c r="M375" s="3" t="s">
        <v>2851</v>
      </c>
      <c r="O375" s="5">
        <v>400</v>
      </c>
      <c r="P375" s="5">
        <v>400</v>
      </c>
    </row>
    <row r="376" spans="1:16" x14ac:dyDescent="0.3">
      <c r="A376" s="1" t="s">
        <v>3228</v>
      </c>
      <c r="B376" s="1" t="s">
        <v>2596</v>
      </c>
      <c r="C376" s="1" t="str">
        <f>VLOOKUP(Apps[[#This Row],[CandID]],Cands[[CandID]:[Cand_Name]],2,0)</f>
        <v>Sarat Piya</v>
      </c>
      <c r="D376" s="1" t="s">
        <v>105</v>
      </c>
      <c r="E376" s="1" t="str">
        <f>_xlfn.IFNA(VLOOKUP(Apps[[#This Row],[PostID]],Posts[[PostID]:[Position]],2,0),"")</f>
        <v>Deputy IT Manager</v>
      </c>
      <c r="F376" s="4">
        <v>45376</v>
      </c>
      <c r="G376" s="3" t="s">
        <v>3539</v>
      </c>
      <c r="H376" s="8" t="s">
        <v>3475</v>
      </c>
      <c r="K376" s="8" t="s">
        <v>3521</v>
      </c>
      <c r="M376" s="3"/>
    </row>
    <row r="377" spans="1:16" x14ac:dyDescent="0.3">
      <c r="A377" s="1" t="s">
        <v>3229</v>
      </c>
      <c r="B377" s="1" t="s">
        <v>2597</v>
      </c>
      <c r="C377" s="1" t="str">
        <f>VLOOKUP(Apps[[#This Row],[CandID]],Cands[[CandID]:[Cand_Name]],2,0)</f>
        <v>Kit Paly</v>
      </c>
      <c r="D377" s="1" t="s">
        <v>114</v>
      </c>
      <c r="E377" s="1" t="str">
        <f>_xlfn.IFNA(VLOOKUP(Apps[[#This Row],[PostID]],Posts[[PostID]:[Position]],2,0),"")</f>
        <v>Driver</v>
      </c>
      <c r="F377" s="4">
        <v>45377</v>
      </c>
      <c r="G377" s="3" t="s">
        <v>2848</v>
      </c>
      <c r="H377" s="8" t="s">
        <v>3475</v>
      </c>
      <c r="K377" s="8" t="s">
        <v>3521</v>
      </c>
      <c r="M377" s="3"/>
    </row>
    <row r="378" spans="1:16" x14ac:dyDescent="0.3">
      <c r="A378" s="1" t="s">
        <v>3230</v>
      </c>
      <c r="B378" s="1" t="s">
        <v>2598</v>
      </c>
      <c r="C378" s="1" t="str">
        <f>VLOOKUP(Apps[[#This Row],[CandID]],Cands[[CandID]:[Cand_Name]],2,0)</f>
        <v>Moeun Reach</v>
      </c>
      <c r="D378" s="1" t="s">
        <v>114</v>
      </c>
      <c r="E378" s="1" t="str">
        <f>_xlfn.IFNA(VLOOKUP(Apps[[#This Row],[PostID]],Posts[[PostID]:[Position]],2,0),"")</f>
        <v>Driver</v>
      </c>
      <c r="F378" s="4">
        <v>45377</v>
      </c>
      <c r="G378" s="3" t="s">
        <v>2848</v>
      </c>
      <c r="M378" s="3"/>
    </row>
    <row r="379" spans="1:16" x14ac:dyDescent="0.3">
      <c r="A379" s="1" t="s">
        <v>3231</v>
      </c>
      <c r="B379" s="1" t="s">
        <v>2599</v>
      </c>
      <c r="C379" s="1" t="str">
        <f>VLOOKUP(Apps[[#This Row],[CandID]],Cands[[CandID]:[Cand_Name]],2,0)</f>
        <v>Pich Sopheak</v>
      </c>
      <c r="D379" s="1" t="s">
        <v>114</v>
      </c>
      <c r="E379" s="1" t="str">
        <f>_xlfn.IFNA(VLOOKUP(Apps[[#This Row],[PostID]],Posts[[PostID]:[Position]],2,0),"")</f>
        <v>Driver</v>
      </c>
      <c r="F379" s="4">
        <v>45377</v>
      </c>
      <c r="G379" s="3" t="s">
        <v>2848</v>
      </c>
      <c r="M379" s="3"/>
    </row>
    <row r="380" spans="1:16" x14ac:dyDescent="0.3">
      <c r="A380" s="1" t="s">
        <v>3232</v>
      </c>
      <c r="B380" s="1" t="s">
        <v>2600</v>
      </c>
      <c r="C380" s="1" t="str">
        <f>VLOOKUP(Apps[[#This Row],[CandID]],Cands[[CandID]:[Cand_Name]],2,0)</f>
        <v>Sar Sopheap</v>
      </c>
      <c r="D380" s="1" t="s">
        <v>114</v>
      </c>
      <c r="E380" s="1" t="str">
        <f>_xlfn.IFNA(VLOOKUP(Apps[[#This Row],[PostID]],Posts[[PostID]:[Position]],2,0),"")</f>
        <v>Driver</v>
      </c>
      <c r="F380" s="4">
        <v>45377</v>
      </c>
      <c r="G380" s="3" t="s">
        <v>2848</v>
      </c>
      <c r="M380" s="3"/>
    </row>
    <row r="381" spans="1:16" x14ac:dyDescent="0.3">
      <c r="A381" s="1" t="s">
        <v>3233</v>
      </c>
      <c r="B381" s="1" t="s">
        <v>2601</v>
      </c>
      <c r="C381" s="1" t="str">
        <f>VLOOKUP(Apps[[#This Row],[CandID]],Cands[[CandID]:[Cand_Name]],2,0)</f>
        <v>Sou Roun</v>
      </c>
      <c r="D381" s="1" t="s">
        <v>114</v>
      </c>
      <c r="E381" s="1" t="str">
        <f>_xlfn.IFNA(VLOOKUP(Apps[[#This Row],[PostID]],Posts[[PostID]:[Position]],2,0),"")</f>
        <v>Driver</v>
      </c>
      <c r="F381" s="4">
        <v>45377</v>
      </c>
      <c r="G381" s="3" t="s">
        <v>2848</v>
      </c>
      <c r="M381" s="3"/>
    </row>
    <row r="382" spans="1:16" x14ac:dyDescent="0.3">
      <c r="A382" s="1" t="s">
        <v>3234</v>
      </c>
      <c r="B382" s="1" t="s">
        <v>2602</v>
      </c>
      <c r="C382" s="1" t="str">
        <f>VLOOKUP(Apps[[#This Row],[CandID]],Cands[[CandID]:[Cand_Name]],2,0)</f>
        <v>Nheb Sreynech</v>
      </c>
      <c r="E382" s="1" t="str">
        <f>_xlfn.IFNA(VLOOKUP(Apps[[#This Row],[PostID]],Posts[[PostID]:[Position]],2,0),"")</f>
        <v/>
      </c>
      <c r="F382" s="4">
        <v>45377</v>
      </c>
      <c r="G382" s="3" t="s">
        <v>2848</v>
      </c>
      <c r="M382" s="3"/>
    </row>
    <row r="383" spans="1:16" x14ac:dyDescent="0.3">
      <c r="A383" s="1" t="s">
        <v>3235</v>
      </c>
      <c r="B383" s="1" t="s">
        <v>2603</v>
      </c>
      <c r="C383" s="1" t="str">
        <f>VLOOKUP(Apps[[#This Row],[CandID]],Cands[[CandID]:[Cand_Name]],2,0)</f>
        <v>Try Chamroeun</v>
      </c>
      <c r="D383" s="1" t="s">
        <v>114</v>
      </c>
      <c r="E383" s="1" t="str">
        <f>_xlfn.IFNA(VLOOKUP(Apps[[#This Row],[PostID]],Posts[[PostID]:[Position]],2,0),"")</f>
        <v>Driver</v>
      </c>
      <c r="F383" s="4">
        <v>45377</v>
      </c>
      <c r="G383" s="3" t="s">
        <v>2848</v>
      </c>
      <c r="M383" s="3"/>
    </row>
    <row r="384" spans="1:16" x14ac:dyDescent="0.3">
      <c r="A384" s="1" t="s">
        <v>3236</v>
      </c>
      <c r="B384" s="1" t="s">
        <v>2604</v>
      </c>
      <c r="C384" s="1" t="str">
        <f>VLOOKUP(Apps[[#This Row],[CandID]],Cands[[CandID]:[Cand_Name]],2,0)</f>
        <v>Pak Paytou</v>
      </c>
      <c r="D384" s="1" t="s">
        <v>115</v>
      </c>
      <c r="E384" s="1" t="str">
        <f>_xlfn.IFNA(VLOOKUP(Apps[[#This Row],[PostID]],Posts[[PostID]:[Position]],2,0),"")</f>
        <v>Admin and Accounting Officer</v>
      </c>
      <c r="F384" s="4">
        <v>45377</v>
      </c>
      <c r="G384" s="3" t="s">
        <v>3539</v>
      </c>
      <c r="M384" s="3"/>
    </row>
    <row r="385" spans="1:16" x14ac:dyDescent="0.3">
      <c r="A385" s="1" t="s">
        <v>3237</v>
      </c>
      <c r="B385" s="1" t="s">
        <v>2605</v>
      </c>
      <c r="C385" s="1" t="str">
        <f>VLOOKUP(Apps[[#This Row],[CandID]],Cands[[CandID]:[Cand_Name]],2,0)</f>
        <v>Lo Chanrin</v>
      </c>
      <c r="D385" s="1" t="s">
        <v>114</v>
      </c>
      <c r="E385" s="1" t="str">
        <f>_xlfn.IFNA(VLOOKUP(Apps[[#This Row],[PostID]],Posts[[PostID]:[Position]],2,0),"")</f>
        <v>Driver</v>
      </c>
      <c r="F385" s="4">
        <v>45378</v>
      </c>
      <c r="G385" s="3" t="s">
        <v>2848</v>
      </c>
      <c r="M385" s="3"/>
    </row>
    <row r="386" spans="1:16" x14ac:dyDescent="0.3">
      <c r="A386" s="1" t="s">
        <v>3238</v>
      </c>
      <c r="B386" s="1" t="s">
        <v>2606</v>
      </c>
      <c r="C386" s="1" t="str">
        <f>VLOOKUP(Apps[[#This Row],[CandID]],Cands[[CandID]:[Cand_Name]],2,0)</f>
        <v>Rin Sane</v>
      </c>
      <c r="D386" s="1" t="s">
        <v>117</v>
      </c>
      <c r="E386" s="1" t="str">
        <f>_xlfn.IFNA(VLOOKUP(Apps[[#This Row],[PostID]],Posts[[PostID]:[Position]],2,0),"")</f>
        <v>Account Payable Officer</v>
      </c>
      <c r="F386" s="4">
        <v>45378</v>
      </c>
      <c r="G386" s="3" t="s">
        <v>2848</v>
      </c>
      <c r="H386" s="8" t="s">
        <v>3477</v>
      </c>
      <c r="I386" s="4">
        <v>45391</v>
      </c>
      <c r="K386" s="8" t="s">
        <v>3521</v>
      </c>
      <c r="M386" s="3"/>
      <c r="N386" s="3" t="s">
        <v>3477</v>
      </c>
      <c r="O386" s="5">
        <v>450</v>
      </c>
      <c r="P386" s="5">
        <v>480</v>
      </c>
    </row>
    <row r="387" spans="1:16" x14ac:dyDescent="0.3">
      <c r="A387" s="1" t="s">
        <v>3239</v>
      </c>
      <c r="B387" s="1" t="s">
        <v>2607</v>
      </c>
      <c r="C387" s="1" t="str">
        <f>VLOOKUP(Apps[[#This Row],[CandID]],Cands[[CandID]:[Cand_Name]],2,0)</f>
        <v>Kit Singhouyling</v>
      </c>
      <c r="D387" s="1" t="s">
        <v>117</v>
      </c>
      <c r="E387" s="1" t="str">
        <f>_xlfn.IFNA(VLOOKUP(Apps[[#This Row],[PostID]],Posts[[PostID]:[Position]],2,0),"")</f>
        <v>Account Payable Officer</v>
      </c>
      <c r="F387" s="4">
        <v>45379</v>
      </c>
      <c r="G387" s="3" t="s">
        <v>2848</v>
      </c>
      <c r="H387" s="8" t="s">
        <v>3477</v>
      </c>
      <c r="I387" s="4">
        <v>45385</v>
      </c>
      <c r="J387" s="4">
        <v>45391</v>
      </c>
      <c r="K387" s="8" t="s">
        <v>2852</v>
      </c>
      <c r="M387" s="3"/>
      <c r="O387" s="5">
        <v>450</v>
      </c>
      <c r="P387" s="5">
        <v>500</v>
      </c>
    </row>
    <row r="388" spans="1:16" x14ac:dyDescent="0.3">
      <c r="A388" s="1" t="s">
        <v>3240</v>
      </c>
      <c r="B388" s="1" t="s">
        <v>2608</v>
      </c>
      <c r="C388" s="1" t="str">
        <f>VLOOKUP(Apps[[#This Row],[CandID]],Cands[[CandID]:[Cand_Name]],2,0)</f>
        <v>Khorn Toy</v>
      </c>
      <c r="D388" s="1" t="s">
        <v>100</v>
      </c>
      <c r="E388" s="1" t="str">
        <f>_xlfn.IFNA(VLOOKUP(Apps[[#This Row],[PostID]],Posts[[PostID]:[Position]],2,0),"")</f>
        <v>Sales Director</v>
      </c>
      <c r="F388" s="4">
        <v>45379</v>
      </c>
      <c r="G388" s="3" t="s">
        <v>3539</v>
      </c>
      <c r="H388" s="8" t="s">
        <v>3475</v>
      </c>
      <c r="K388" s="8" t="s">
        <v>3521</v>
      </c>
      <c r="M388" s="3"/>
    </row>
    <row r="389" spans="1:16" x14ac:dyDescent="0.3">
      <c r="A389" s="1" t="s">
        <v>3241</v>
      </c>
      <c r="B389" s="1" t="s">
        <v>2609</v>
      </c>
      <c r="C389" s="1" t="str">
        <f>VLOOKUP(Apps[[#This Row],[CandID]],Cands[[CandID]:[Cand_Name]],2,0)</f>
        <v>Ul Vibol</v>
      </c>
      <c r="D389" s="1" t="s">
        <v>105</v>
      </c>
      <c r="E389" s="1" t="str">
        <f>_xlfn.IFNA(VLOOKUP(Apps[[#This Row],[PostID]],Posts[[PostID]:[Position]],2,0),"")</f>
        <v>Deputy IT Manager</v>
      </c>
      <c r="F389" s="4">
        <v>45379</v>
      </c>
      <c r="G389" s="3" t="s">
        <v>3539</v>
      </c>
      <c r="H389" s="8" t="s">
        <v>3477</v>
      </c>
      <c r="I389" s="4">
        <v>45385</v>
      </c>
      <c r="M389" s="3"/>
      <c r="P389" s="5">
        <v>900</v>
      </c>
    </row>
    <row r="390" spans="1:16" x14ac:dyDescent="0.3">
      <c r="A390" s="1" t="s">
        <v>3242</v>
      </c>
      <c r="B390" s="1" t="s">
        <v>2610</v>
      </c>
      <c r="C390" s="1" t="str">
        <f>VLOOKUP(Apps[[#This Row],[CandID]],Cands[[CandID]:[Cand_Name]],2,0)</f>
        <v>Vong Sorphonpheaktra</v>
      </c>
      <c r="D390" s="1" t="s">
        <v>126</v>
      </c>
      <c r="E390" s="1" t="str">
        <f>_xlfn.IFNA(VLOOKUP(Apps[[#This Row],[PostID]],Posts[[PostID]:[Position]],2,0),"")</f>
        <v>Architect</v>
      </c>
      <c r="F390" s="4">
        <v>45379</v>
      </c>
      <c r="G390" s="3" t="s">
        <v>3539</v>
      </c>
      <c r="M390" s="3"/>
    </row>
    <row r="391" spans="1:16" x14ac:dyDescent="0.3">
      <c r="A391" s="1" t="s">
        <v>3243</v>
      </c>
      <c r="B391" s="1" t="s">
        <v>2611</v>
      </c>
      <c r="C391" s="1" t="str">
        <f>VLOOKUP(Apps[[#This Row],[CandID]],Cands[[CandID]:[Cand_Name]],2,0)</f>
        <v>Torn Jyphinh</v>
      </c>
      <c r="D391" s="1" t="s">
        <v>117</v>
      </c>
      <c r="E391" s="1" t="str">
        <f>_xlfn.IFNA(VLOOKUP(Apps[[#This Row],[PostID]],Posts[[PostID]:[Position]],2,0),"")</f>
        <v>Account Payable Officer</v>
      </c>
      <c r="F391" s="4">
        <v>45380</v>
      </c>
      <c r="G391" s="3" t="s">
        <v>2848</v>
      </c>
      <c r="H391" s="8" t="s">
        <v>3477</v>
      </c>
      <c r="I391" s="4">
        <v>45380</v>
      </c>
      <c r="K391" s="8" t="s">
        <v>3521</v>
      </c>
      <c r="M391" s="3"/>
      <c r="N391" s="3" t="s">
        <v>3477</v>
      </c>
      <c r="O391" s="5">
        <v>300</v>
      </c>
      <c r="P391" s="5">
        <v>350</v>
      </c>
    </row>
    <row r="392" spans="1:16" x14ac:dyDescent="0.3">
      <c r="A392" s="1" t="s">
        <v>3244</v>
      </c>
      <c r="B392" s="1" t="s">
        <v>2612</v>
      </c>
      <c r="C392" s="1" t="str">
        <f>VLOOKUP(Apps[[#This Row],[CandID]],Cands[[CandID]:[Cand_Name]],2,0)</f>
        <v>Chreng Dyna</v>
      </c>
      <c r="D392" s="1" t="s">
        <v>117</v>
      </c>
      <c r="E392" s="1" t="str">
        <f>_xlfn.IFNA(VLOOKUP(Apps[[#This Row],[PostID]],Posts[[PostID]:[Position]],2,0),"")</f>
        <v>Account Payable Officer</v>
      </c>
      <c r="F392" s="4">
        <v>45381</v>
      </c>
      <c r="G392" s="3" t="s">
        <v>2845</v>
      </c>
      <c r="M392" s="3"/>
    </row>
    <row r="393" spans="1:16" x14ac:dyDescent="0.3">
      <c r="A393" s="1" t="s">
        <v>3245</v>
      </c>
      <c r="B393" s="1" t="s">
        <v>2613</v>
      </c>
      <c r="C393" s="1" t="str">
        <f>VLOOKUP(Apps[[#This Row],[CandID]],Cands[[CandID]:[Cand_Name]],2,0)</f>
        <v>Sok Sovatha</v>
      </c>
      <c r="D393" s="1" t="s">
        <v>126</v>
      </c>
      <c r="E393" s="1" t="str">
        <f>_xlfn.IFNA(VLOOKUP(Apps[[#This Row],[PostID]],Posts[[PostID]:[Position]],2,0),"")</f>
        <v>Architect</v>
      </c>
      <c r="F393" s="4">
        <v>45382</v>
      </c>
      <c r="G393" s="3" t="s">
        <v>3539</v>
      </c>
      <c r="M393" s="3"/>
    </row>
    <row r="394" spans="1:16" x14ac:dyDescent="0.3">
      <c r="A394" s="1" t="s">
        <v>3246</v>
      </c>
      <c r="B394" s="1" t="s">
        <v>2614</v>
      </c>
      <c r="C394" s="1" t="str">
        <f>VLOOKUP(Apps[[#This Row],[CandID]],Cands[[CandID]:[Cand_Name]],2,0)</f>
        <v>Peang Syseleap</v>
      </c>
      <c r="D394" s="1" t="s">
        <v>117</v>
      </c>
      <c r="E394" s="1" t="str">
        <f>_xlfn.IFNA(VLOOKUP(Apps[[#This Row],[PostID]],Posts[[PostID]:[Position]],2,0),"")</f>
        <v>Account Payable Officer</v>
      </c>
      <c r="F394" s="4">
        <v>45382</v>
      </c>
      <c r="G394" s="3" t="s">
        <v>2845</v>
      </c>
      <c r="H394" s="8" t="s">
        <v>3477</v>
      </c>
      <c r="I394" s="4">
        <v>45385</v>
      </c>
      <c r="J394" s="4">
        <v>45391</v>
      </c>
      <c r="K394" s="8" t="s">
        <v>3521</v>
      </c>
      <c r="M394" s="3"/>
      <c r="N394" s="3" t="s">
        <v>3477</v>
      </c>
      <c r="O394" s="5">
        <v>450</v>
      </c>
      <c r="P394" s="5">
        <v>500</v>
      </c>
    </row>
    <row r="395" spans="1:16" x14ac:dyDescent="0.3">
      <c r="A395" s="1" t="s">
        <v>3247</v>
      </c>
      <c r="B395" s="1" t="s">
        <v>2615</v>
      </c>
      <c r="C395" s="1" t="str">
        <f>VLOOKUP(Apps[[#This Row],[CandID]],Cands[[CandID]:[Cand_Name]],2,0)</f>
        <v>Suon Dara</v>
      </c>
      <c r="D395" s="1" t="s">
        <v>114</v>
      </c>
      <c r="E395" s="1" t="str">
        <f>_xlfn.IFNA(VLOOKUP(Apps[[#This Row],[PostID]],Posts[[PostID]:[Position]],2,0),"")</f>
        <v>Driver</v>
      </c>
      <c r="F395" s="4">
        <v>45382</v>
      </c>
      <c r="G395" s="3" t="s">
        <v>2848</v>
      </c>
      <c r="H395" s="8" t="s">
        <v>3477</v>
      </c>
      <c r="I395" s="4">
        <v>45384</v>
      </c>
      <c r="K395" s="8" t="s">
        <v>3521</v>
      </c>
      <c r="M395" s="3"/>
      <c r="N395" s="3" t="s">
        <v>3477</v>
      </c>
    </row>
    <row r="396" spans="1:16" x14ac:dyDescent="0.3">
      <c r="A396" s="1" t="s">
        <v>3248</v>
      </c>
      <c r="B396" s="1" t="s">
        <v>2616</v>
      </c>
      <c r="C396" s="1" t="str">
        <f>VLOOKUP(Apps[[#This Row],[CandID]],Cands[[CandID]:[Cand_Name]],2,0)</f>
        <v>Khung Sokheng</v>
      </c>
      <c r="D396" s="1" t="s">
        <v>126</v>
      </c>
      <c r="E396" s="1" t="str">
        <f>_xlfn.IFNA(VLOOKUP(Apps[[#This Row],[PostID]],Posts[[PostID]:[Position]],2,0),"")</f>
        <v>Architect</v>
      </c>
      <c r="F396" s="4">
        <v>45383</v>
      </c>
      <c r="G396" s="3" t="s">
        <v>2847</v>
      </c>
      <c r="H396" s="8" t="s">
        <v>3477</v>
      </c>
      <c r="I396" s="4">
        <v>45385</v>
      </c>
      <c r="M396" s="3"/>
    </row>
    <row r="397" spans="1:16" x14ac:dyDescent="0.3">
      <c r="A397" s="1" t="s">
        <v>3249</v>
      </c>
      <c r="B397" s="1" t="s">
        <v>2617</v>
      </c>
      <c r="C397" s="1" t="str">
        <f>VLOOKUP(Apps[[#This Row],[CandID]],Cands[[CandID]:[Cand_Name]],2,0)</f>
        <v>Kol Heng</v>
      </c>
      <c r="D397" s="1" t="s">
        <v>100</v>
      </c>
      <c r="E397" s="1" t="str">
        <f>_xlfn.IFNA(VLOOKUP(Apps[[#This Row],[PostID]],Posts[[PostID]:[Position]],2,0),"")</f>
        <v>Sales Director</v>
      </c>
      <c r="F397" s="4">
        <v>45383</v>
      </c>
      <c r="G397" s="3" t="s">
        <v>2847</v>
      </c>
      <c r="M397" s="3"/>
    </row>
    <row r="398" spans="1:16" x14ac:dyDescent="0.3">
      <c r="A398" s="1" t="s">
        <v>3250</v>
      </c>
      <c r="B398" s="1" t="s">
        <v>2618</v>
      </c>
      <c r="C398" s="1" t="str">
        <f>VLOOKUP(Apps[[#This Row],[CandID]],Cands[[CandID]:[Cand_Name]],2,0)</f>
        <v>San Sovandara</v>
      </c>
      <c r="D398" s="1" t="s">
        <v>126</v>
      </c>
      <c r="E398" s="1" t="str">
        <f>_xlfn.IFNA(VLOOKUP(Apps[[#This Row],[PostID]],Posts[[PostID]:[Position]],2,0),"")</f>
        <v>Architect</v>
      </c>
      <c r="F398" s="4">
        <v>45383</v>
      </c>
      <c r="G398" s="3" t="s">
        <v>2847</v>
      </c>
      <c r="M398" s="3"/>
    </row>
    <row r="399" spans="1:16" x14ac:dyDescent="0.3">
      <c r="A399" s="1" t="s">
        <v>3251</v>
      </c>
      <c r="B399" s="1" t="s">
        <v>2619</v>
      </c>
      <c r="C399" s="1" t="str">
        <f>VLOOKUP(Apps[[#This Row],[CandID]],Cands[[CandID]:[Cand_Name]],2,0)</f>
        <v>Tuy Viphal</v>
      </c>
      <c r="D399" s="1" t="s">
        <v>105</v>
      </c>
      <c r="E399" s="1" t="str">
        <f>_xlfn.IFNA(VLOOKUP(Apps[[#This Row],[PostID]],Posts[[PostID]:[Position]],2,0),"")</f>
        <v>Deputy IT Manager</v>
      </c>
      <c r="F399" s="4">
        <v>45383</v>
      </c>
      <c r="G399" s="3" t="s">
        <v>2847</v>
      </c>
      <c r="H399" s="8" t="s">
        <v>3477</v>
      </c>
      <c r="I399" s="4">
        <v>45383</v>
      </c>
      <c r="K399" s="8" t="s">
        <v>3521</v>
      </c>
      <c r="M399" s="3"/>
      <c r="N399" s="3" t="s">
        <v>3477</v>
      </c>
      <c r="O399" s="5">
        <v>900</v>
      </c>
      <c r="P399" s="5">
        <v>1700</v>
      </c>
    </row>
    <row r="400" spans="1:16" x14ac:dyDescent="0.3">
      <c r="A400" s="1" t="s">
        <v>3252</v>
      </c>
      <c r="B400" s="1" t="s">
        <v>2620</v>
      </c>
      <c r="C400" s="1" t="str">
        <f>VLOOKUP(Apps[[#This Row],[CandID]],Cands[[CandID]:[Cand_Name]],2,0)</f>
        <v>Suon Dar</v>
      </c>
      <c r="D400" s="1" t="s">
        <v>114</v>
      </c>
      <c r="E400" s="1" t="str">
        <f>_xlfn.IFNA(VLOOKUP(Apps[[#This Row],[PostID]],Posts[[PostID]:[Position]],2,0),"")</f>
        <v>Driver</v>
      </c>
      <c r="F400" s="4">
        <v>45383</v>
      </c>
      <c r="G400" s="3" t="s">
        <v>2848</v>
      </c>
      <c r="M400" s="3"/>
    </row>
    <row r="401" spans="1:14" x14ac:dyDescent="0.3">
      <c r="A401" s="1" t="s">
        <v>3253</v>
      </c>
      <c r="B401" s="1" t="s">
        <v>2621</v>
      </c>
      <c r="C401" s="1" t="str">
        <f>VLOOKUP(Apps[[#This Row],[CandID]],Cands[[CandID]:[Cand_Name]],2,0)</f>
        <v>Soeurn Soytry</v>
      </c>
      <c r="D401" s="1" t="s">
        <v>100</v>
      </c>
      <c r="E401" s="1" t="str">
        <f>_xlfn.IFNA(VLOOKUP(Apps[[#This Row],[PostID]],Posts[[PostID]:[Position]],2,0),"")</f>
        <v>Sales Director</v>
      </c>
      <c r="F401" s="4">
        <v>45383</v>
      </c>
      <c r="G401" s="3" t="s">
        <v>2848</v>
      </c>
      <c r="H401" s="8" t="s">
        <v>3475</v>
      </c>
      <c r="K401" s="8" t="s">
        <v>3521</v>
      </c>
      <c r="M401" s="3"/>
    </row>
    <row r="402" spans="1:14" x14ac:dyDescent="0.3">
      <c r="A402" s="1" t="s">
        <v>3254</v>
      </c>
      <c r="B402" s="1" t="s">
        <v>2622</v>
      </c>
      <c r="C402" s="1" t="str">
        <f>VLOOKUP(Apps[[#This Row],[CandID]],Cands[[CandID]:[Cand_Name]],2,0)</f>
        <v>Chuob Cheatra</v>
      </c>
      <c r="D402" s="1" t="s">
        <v>100</v>
      </c>
      <c r="E402" s="1" t="str">
        <f>_xlfn.IFNA(VLOOKUP(Apps[[#This Row],[PostID]],Posts[[PostID]:[Position]],2,0),"")</f>
        <v>Sales Director</v>
      </c>
      <c r="F402" s="4">
        <v>45383</v>
      </c>
      <c r="G402" s="3" t="s">
        <v>2848</v>
      </c>
      <c r="H402" s="8" t="s">
        <v>3477</v>
      </c>
      <c r="I402" s="4">
        <v>45386</v>
      </c>
      <c r="M402" s="3"/>
    </row>
    <row r="403" spans="1:14" x14ac:dyDescent="0.3">
      <c r="A403" s="1" t="s">
        <v>3255</v>
      </c>
      <c r="B403" s="1" t="s">
        <v>2623</v>
      </c>
      <c r="C403" s="1" t="str">
        <f>VLOOKUP(Apps[[#This Row],[CandID]],Cands[[CandID]:[Cand_Name]],2,0)</f>
        <v>Chien Socheat</v>
      </c>
      <c r="D403" s="1" t="s">
        <v>86</v>
      </c>
      <c r="E403" s="1" t="str">
        <f>_xlfn.IFNA(VLOOKUP(Apps[[#This Row],[PostID]],Posts[[PostID]:[Position]],2,0),"")</f>
        <v>Factory Supervisor</v>
      </c>
      <c r="F403" s="4">
        <v>45384</v>
      </c>
      <c r="G403" s="3" t="s">
        <v>2847</v>
      </c>
      <c r="M403" s="3"/>
    </row>
    <row r="404" spans="1:14" x14ac:dyDescent="0.3">
      <c r="A404" s="1" t="s">
        <v>3256</v>
      </c>
      <c r="B404" s="1" t="s">
        <v>2624</v>
      </c>
      <c r="C404" s="1" t="str">
        <f>VLOOKUP(Apps[[#This Row],[CandID]],Cands[[CandID]:[Cand_Name]],2,0)</f>
        <v>Yoy Sophachakkol</v>
      </c>
      <c r="D404" s="1" t="s">
        <v>100</v>
      </c>
      <c r="E404" s="1" t="str">
        <f>_xlfn.IFNA(VLOOKUP(Apps[[#This Row],[PostID]],Posts[[PostID]:[Position]],2,0),"")</f>
        <v>Sales Director</v>
      </c>
      <c r="F404" s="4">
        <v>45384</v>
      </c>
      <c r="G404" s="3" t="s">
        <v>2847</v>
      </c>
      <c r="H404" s="8" t="s">
        <v>3477</v>
      </c>
      <c r="I404" s="4">
        <v>45386</v>
      </c>
      <c r="M404" s="3"/>
    </row>
    <row r="405" spans="1:14" x14ac:dyDescent="0.3">
      <c r="A405" s="1" t="s">
        <v>3257</v>
      </c>
      <c r="B405" s="1" t="s">
        <v>2625</v>
      </c>
      <c r="C405" s="1" t="str">
        <f>VLOOKUP(Apps[[#This Row],[CandID]],Cands[[CandID]:[Cand_Name]],2,0)</f>
        <v>Chea Sok Heng</v>
      </c>
      <c r="D405" s="1" t="s">
        <v>99</v>
      </c>
      <c r="E405" s="1" t="str">
        <f>_xlfn.IFNA(VLOOKUP(Apps[[#This Row],[PostID]],Posts[[PostID]:[Position]],2,0),"")</f>
        <v>Deputy Marketing Manager (event)</v>
      </c>
      <c r="F405" s="4">
        <v>45384</v>
      </c>
      <c r="G405" s="3" t="s">
        <v>3539</v>
      </c>
      <c r="M405" s="3"/>
    </row>
    <row r="406" spans="1:14" x14ac:dyDescent="0.3">
      <c r="A406" s="1" t="s">
        <v>3258</v>
      </c>
      <c r="B406" s="1" t="s">
        <v>2626</v>
      </c>
      <c r="C406" s="1" t="str">
        <f>VLOOKUP(Apps[[#This Row],[CandID]],Cands[[CandID]:[Cand_Name]],2,0)</f>
        <v>San Shang</v>
      </c>
      <c r="D406" s="1" t="s">
        <v>114</v>
      </c>
      <c r="E406" s="1" t="str">
        <f>_xlfn.IFNA(VLOOKUP(Apps[[#This Row],[PostID]],Posts[[PostID]:[Position]],2,0),"")</f>
        <v>Driver</v>
      </c>
      <c r="F406" s="4">
        <v>45384</v>
      </c>
      <c r="G406" s="3" t="s">
        <v>2848</v>
      </c>
      <c r="M406" s="3"/>
    </row>
    <row r="407" spans="1:14" x14ac:dyDescent="0.3">
      <c r="A407" s="1" t="s">
        <v>3259</v>
      </c>
      <c r="B407" s="1" t="s">
        <v>2627</v>
      </c>
      <c r="C407" s="1" t="str">
        <f>VLOOKUP(Apps[[#This Row],[CandID]],Cands[[CandID]:[Cand_Name]],2,0)</f>
        <v>Chheang Sothai</v>
      </c>
      <c r="D407" s="1" t="s">
        <v>115</v>
      </c>
      <c r="E407" s="1" t="str">
        <f>_xlfn.IFNA(VLOOKUP(Apps[[#This Row],[PostID]],Posts[[PostID]:[Position]],2,0),"")</f>
        <v>Admin and Accounting Officer</v>
      </c>
      <c r="F407" s="4">
        <v>45384</v>
      </c>
      <c r="G407" s="3" t="s">
        <v>2848</v>
      </c>
      <c r="H407" s="8" t="s">
        <v>3475</v>
      </c>
      <c r="K407" s="8" t="s">
        <v>3521</v>
      </c>
      <c r="M407" s="3"/>
    </row>
    <row r="408" spans="1:14" x14ac:dyDescent="0.3">
      <c r="A408" s="1" t="s">
        <v>3260</v>
      </c>
      <c r="B408" s="1" t="s">
        <v>2628</v>
      </c>
      <c r="C408" s="1" t="str">
        <f>VLOOKUP(Apps[[#This Row],[CandID]],Cands[[CandID]:[Cand_Name]],2,0)</f>
        <v>Huy Kemratha</v>
      </c>
      <c r="D408" s="1" t="s">
        <v>114</v>
      </c>
      <c r="E408" s="1" t="str">
        <f>_xlfn.IFNA(VLOOKUP(Apps[[#This Row],[PostID]],Posts[[PostID]:[Position]],2,0),"")</f>
        <v>Driver</v>
      </c>
      <c r="F408" s="4">
        <v>45385</v>
      </c>
      <c r="G408" s="3" t="s">
        <v>2848</v>
      </c>
      <c r="H408" s="8" t="s">
        <v>3477</v>
      </c>
      <c r="I408" s="4">
        <v>45386</v>
      </c>
      <c r="K408" s="8" t="s">
        <v>3521</v>
      </c>
      <c r="M408" s="3"/>
      <c r="N408" s="3" t="s">
        <v>3477</v>
      </c>
    </row>
    <row r="409" spans="1:14" x14ac:dyDescent="0.3">
      <c r="A409" s="1" t="s">
        <v>3261</v>
      </c>
      <c r="B409" s="1" t="s">
        <v>2629</v>
      </c>
      <c r="C409" s="1" t="str">
        <f>VLOOKUP(Apps[[#This Row],[CandID]],Cands[[CandID]:[Cand_Name]],2,0)</f>
        <v>Sok Chhai</v>
      </c>
      <c r="D409" s="1" t="s">
        <v>114</v>
      </c>
      <c r="E409" s="1" t="str">
        <f>_xlfn.IFNA(VLOOKUP(Apps[[#This Row],[PostID]],Posts[[PostID]:[Position]],2,0),"")</f>
        <v>Driver</v>
      </c>
      <c r="F409" s="4">
        <v>45385</v>
      </c>
      <c r="G409" s="3" t="s">
        <v>2848</v>
      </c>
      <c r="M409" s="3"/>
    </row>
    <row r="410" spans="1:14" x14ac:dyDescent="0.3">
      <c r="A410" s="1" t="s">
        <v>3262</v>
      </c>
      <c r="B410" s="1" t="s">
        <v>2630</v>
      </c>
      <c r="C410" s="1" t="str">
        <f>VLOOKUP(Apps[[#This Row],[CandID]],Cands[[CandID]:[Cand_Name]],2,0)</f>
        <v>Chan Sothaly</v>
      </c>
      <c r="D410" s="1" t="s">
        <v>100</v>
      </c>
      <c r="E410" s="1" t="str">
        <f>_xlfn.IFNA(VLOOKUP(Apps[[#This Row],[PostID]],Posts[[PostID]:[Position]],2,0),"")</f>
        <v>Sales Director</v>
      </c>
      <c r="F410" s="4">
        <v>45386</v>
      </c>
      <c r="G410" s="3" t="s">
        <v>2847</v>
      </c>
      <c r="M410" s="3"/>
    </row>
    <row r="411" spans="1:14" x14ac:dyDescent="0.3">
      <c r="A411" s="1" t="s">
        <v>3263</v>
      </c>
      <c r="B411" s="1" t="s">
        <v>2631</v>
      </c>
      <c r="C411" s="1" t="str">
        <f>VLOOKUP(Apps[[#This Row],[CandID]],Cands[[CandID]:[Cand_Name]],2,0)</f>
        <v>Kaing Teangka</v>
      </c>
      <c r="D411" s="1" t="s">
        <v>105</v>
      </c>
      <c r="E411" s="1" t="str">
        <f>_xlfn.IFNA(VLOOKUP(Apps[[#This Row],[PostID]],Posts[[PostID]:[Position]],2,0),"")</f>
        <v>Deputy IT Manager</v>
      </c>
      <c r="F411" s="4">
        <v>45386</v>
      </c>
      <c r="G411" s="3" t="s">
        <v>2847</v>
      </c>
      <c r="H411" s="8" t="s">
        <v>3475</v>
      </c>
      <c r="K411" s="8" t="s">
        <v>3521</v>
      </c>
      <c r="M411" s="3"/>
    </row>
    <row r="412" spans="1:14" x14ac:dyDescent="0.3">
      <c r="A412" s="1" t="s">
        <v>3264</v>
      </c>
      <c r="B412" s="1" t="s">
        <v>2632</v>
      </c>
      <c r="C412" s="1" t="str">
        <f>VLOOKUP(Apps[[#This Row],[CandID]],Cands[[CandID]:[Cand_Name]],2,0)</f>
        <v>Khun Vuchheng</v>
      </c>
      <c r="D412" s="1" t="s">
        <v>86</v>
      </c>
      <c r="E412" s="1" t="str">
        <f>_xlfn.IFNA(VLOOKUP(Apps[[#This Row],[PostID]],Posts[[PostID]:[Position]],2,0),"")</f>
        <v>Factory Supervisor</v>
      </c>
      <c r="F412" s="4">
        <v>45386</v>
      </c>
      <c r="G412" s="3" t="s">
        <v>3539</v>
      </c>
      <c r="M412" s="3"/>
    </row>
    <row r="413" spans="1:14" x14ac:dyDescent="0.3">
      <c r="A413" s="1" t="s">
        <v>3265</v>
      </c>
      <c r="B413" s="1" t="s">
        <v>2633</v>
      </c>
      <c r="C413" s="1" t="str">
        <f>VLOOKUP(Apps[[#This Row],[CandID]],Cands[[CandID]:[Cand_Name]],2,0)</f>
        <v>Thy Tith</v>
      </c>
      <c r="D413" s="1" t="s">
        <v>105</v>
      </c>
      <c r="E413" s="1" t="str">
        <f>_xlfn.IFNA(VLOOKUP(Apps[[#This Row],[PostID]],Posts[[PostID]:[Position]],2,0),"")</f>
        <v>Deputy IT Manager</v>
      </c>
      <c r="F413" s="4">
        <v>45386</v>
      </c>
      <c r="G413" s="3" t="s">
        <v>2847</v>
      </c>
      <c r="H413" s="8" t="s">
        <v>3475</v>
      </c>
      <c r="K413" s="8" t="s">
        <v>3521</v>
      </c>
      <c r="M413" s="3"/>
    </row>
    <row r="414" spans="1:14" x14ac:dyDescent="0.3">
      <c r="A414" s="1" t="s">
        <v>3266</v>
      </c>
      <c r="B414" s="1" t="s">
        <v>2634</v>
      </c>
      <c r="C414" s="1" t="str">
        <f>VLOOKUP(Apps[[#This Row],[CandID]],Cands[[CandID]:[Cand_Name]],2,0)</f>
        <v>Chen Samnang</v>
      </c>
      <c r="D414" s="1" t="s">
        <v>99</v>
      </c>
      <c r="E414" s="1" t="str">
        <f>_xlfn.IFNA(VLOOKUP(Apps[[#This Row],[PostID]],Posts[[PostID]:[Position]],2,0),"")</f>
        <v>Deputy Marketing Manager (event)</v>
      </c>
      <c r="F414" s="4">
        <v>45387</v>
      </c>
      <c r="G414" s="3" t="s">
        <v>2847</v>
      </c>
      <c r="H414" s="8" t="s">
        <v>3475</v>
      </c>
      <c r="K414" s="8" t="s">
        <v>3521</v>
      </c>
      <c r="M414" s="3"/>
    </row>
    <row r="415" spans="1:14" x14ac:dyDescent="0.3">
      <c r="A415" s="1" t="s">
        <v>3267</v>
      </c>
      <c r="B415" s="1" t="s">
        <v>2635</v>
      </c>
      <c r="C415" s="1" t="str">
        <f>VLOOKUP(Apps[[#This Row],[CandID]],Cands[[CandID]:[Cand_Name]],2,0)</f>
        <v>Nget Kao</v>
      </c>
      <c r="D415" s="1" t="s">
        <v>115</v>
      </c>
      <c r="E415" s="1" t="str">
        <f>_xlfn.IFNA(VLOOKUP(Apps[[#This Row],[PostID]],Posts[[PostID]:[Position]],2,0),"")</f>
        <v>Admin and Accounting Officer</v>
      </c>
      <c r="F415" s="4">
        <v>45387</v>
      </c>
      <c r="G415" s="3" t="s">
        <v>3539</v>
      </c>
      <c r="H415" s="8" t="s">
        <v>3475</v>
      </c>
      <c r="K415" s="8" t="s">
        <v>3521</v>
      </c>
      <c r="M415" s="3"/>
    </row>
    <row r="416" spans="1:14" x14ac:dyDescent="0.3">
      <c r="A416" s="1" t="s">
        <v>3268</v>
      </c>
      <c r="B416" s="1" t="s">
        <v>2636</v>
      </c>
      <c r="C416" s="1" t="str">
        <f>VLOOKUP(Apps[[#This Row],[CandID]],Cands[[CandID]:[Cand_Name]],2,0)</f>
        <v>Ol Votey</v>
      </c>
      <c r="D416" s="1" t="s">
        <v>100</v>
      </c>
      <c r="E416" s="1" t="str">
        <f>_xlfn.IFNA(VLOOKUP(Apps[[#This Row],[PostID]],Posts[[PostID]:[Position]],2,0),"")</f>
        <v>Sales Director</v>
      </c>
      <c r="F416" s="4">
        <v>45387</v>
      </c>
      <c r="G416" s="3" t="s">
        <v>2847</v>
      </c>
      <c r="M416" s="3"/>
    </row>
    <row r="417" spans="1:16" x14ac:dyDescent="0.3">
      <c r="A417" s="1" t="s">
        <v>3269</v>
      </c>
      <c r="B417" s="1" t="s">
        <v>2637</v>
      </c>
      <c r="C417" s="1" t="str">
        <f>VLOOKUP(Apps[[#This Row],[CandID]],Cands[[CandID]:[Cand_Name]],2,0)</f>
        <v>Chey Kanharath</v>
      </c>
      <c r="D417" s="1" t="s">
        <v>100</v>
      </c>
      <c r="E417" s="1" t="str">
        <f>_xlfn.IFNA(VLOOKUP(Apps[[#This Row],[PostID]],Posts[[PostID]:[Position]],2,0),"")</f>
        <v>Sales Director</v>
      </c>
      <c r="F417" s="4">
        <v>45387</v>
      </c>
      <c r="G417" s="3" t="s">
        <v>2847</v>
      </c>
      <c r="M417" s="3"/>
    </row>
    <row r="418" spans="1:16" x14ac:dyDescent="0.3">
      <c r="A418" s="1" t="s">
        <v>3270</v>
      </c>
      <c r="B418" s="1" t="s">
        <v>2638</v>
      </c>
      <c r="C418" s="1" t="str">
        <f>VLOOKUP(Apps[[#This Row],[CandID]],Cands[[CandID]:[Cand_Name]],2,0)</f>
        <v>Hang Khemsambo</v>
      </c>
      <c r="D418" s="1" t="s">
        <v>99</v>
      </c>
      <c r="E418" s="1" t="str">
        <f>_xlfn.IFNA(VLOOKUP(Apps[[#This Row],[PostID]],Posts[[PostID]:[Position]],2,0),"")</f>
        <v>Deputy Marketing Manager (event)</v>
      </c>
      <c r="F418" s="4">
        <v>45387</v>
      </c>
      <c r="G418" s="3" t="s">
        <v>2847</v>
      </c>
      <c r="H418" s="8" t="s">
        <v>3475</v>
      </c>
      <c r="K418" s="8" t="s">
        <v>3521</v>
      </c>
      <c r="M418" s="3"/>
    </row>
    <row r="419" spans="1:16" x14ac:dyDescent="0.3">
      <c r="A419" s="1" t="s">
        <v>3271</v>
      </c>
      <c r="B419" s="1" t="s">
        <v>2639</v>
      </c>
      <c r="C419" s="1" t="str">
        <f>VLOOKUP(Apps[[#This Row],[CandID]],Cands[[CandID]:[Cand_Name]],2,0)</f>
        <v>Heng Daravuth</v>
      </c>
      <c r="D419" s="1" t="s">
        <v>105</v>
      </c>
      <c r="E419" s="1" t="str">
        <f>_xlfn.IFNA(VLOOKUP(Apps[[#This Row],[PostID]],Posts[[PostID]:[Position]],2,0),"")</f>
        <v>Deputy IT Manager</v>
      </c>
      <c r="F419" s="4">
        <v>45387</v>
      </c>
      <c r="G419" s="3" t="s">
        <v>2847</v>
      </c>
      <c r="H419" s="8" t="s">
        <v>3475</v>
      </c>
      <c r="K419" s="8" t="s">
        <v>3521</v>
      </c>
      <c r="M419" s="3"/>
    </row>
    <row r="420" spans="1:16" x14ac:dyDescent="0.3">
      <c r="A420" s="1" t="s">
        <v>3272</v>
      </c>
      <c r="B420" s="1" t="s">
        <v>2640</v>
      </c>
      <c r="C420" s="1" t="str">
        <f>VLOOKUP(Apps[[#This Row],[CandID]],Cands[[CandID]:[Cand_Name]],2,0)</f>
        <v>Mey Samedy</v>
      </c>
      <c r="D420" s="1" t="s">
        <v>98</v>
      </c>
      <c r="E420" s="1" t="str">
        <f>_xlfn.IFNA(VLOOKUP(Apps[[#This Row],[PostID]],Posts[[PostID]:[Position]],2,0),"")</f>
        <v>Marketing Manager</v>
      </c>
      <c r="F420" s="4">
        <v>45387</v>
      </c>
      <c r="G420" s="3" t="s">
        <v>2847</v>
      </c>
      <c r="H420" s="8" t="s">
        <v>3475</v>
      </c>
      <c r="K420" s="8" t="s">
        <v>3521</v>
      </c>
      <c r="M420" s="3"/>
    </row>
    <row r="421" spans="1:16" x14ac:dyDescent="0.3">
      <c r="A421" s="1" t="s">
        <v>3273</v>
      </c>
      <c r="B421" s="1" t="s">
        <v>2641</v>
      </c>
      <c r="C421" s="1" t="str">
        <f>VLOOKUP(Apps[[#This Row],[CandID]],Cands[[CandID]:[Cand_Name]],2,0)</f>
        <v>Sim Vicheka</v>
      </c>
      <c r="D421" s="1" t="s">
        <v>100</v>
      </c>
      <c r="E421" s="1" t="str">
        <f>_xlfn.IFNA(VLOOKUP(Apps[[#This Row],[PostID]],Posts[[PostID]:[Position]],2,0),"")</f>
        <v>Sales Director</v>
      </c>
      <c r="F421" s="4">
        <v>45387</v>
      </c>
      <c r="G421" s="3" t="s">
        <v>2847</v>
      </c>
      <c r="H421" s="8" t="s">
        <v>3475</v>
      </c>
      <c r="K421" s="8" t="s">
        <v>3521</v>
      </c>
      <c r="M421" s="3"/>
    </row>
    <row r="422" spans="1:16" x14ac:dyDescent="0.3">
      <c r="A422" s="1" t="s">
        <v>3274</v>
      </c>
      <c r="B422" s="1" t="s">
        <v>2642</v>
      </c>
      <c r="C422" s="1" t="str">
        <f>VLOOKUP(Apps[[#This Row],[CandID]],Cands[[CandID]:[Cand_Name]],2,0)</f>
        <v>Theng Kimly</v>
      </c>
      <c r="D422" s="1" t="s">
        <v>100</v>
      </c>
      <c r="E422" s="1" t="str">
        <f>_xlfn.IFNA(VLOOKUP(Apps[[#This Row],[PostID]],Posts[[PostID]:[Position]],2,0),"")</f>
        <v>Sales Director</v>
      </c>
      <c r="F422" s="4">
        <v>45387</v>
      </c>
      <c r="G422" s="3" t="s">
        <v>2847</v>
      </c>
      <c r="M422" s="3"/>
    </row>
    <row r="423" spans="1:16" x14ac:dyDescent="0.3">
      <c r="A423" s="1" t="s">
        <v>3275</v>
      </c>
      <c r="B423" s="1" t="s">
        <v>2643</v>
      </c>
      <c r="C423" s="1" t="str">
        <f>VLOOKUP(Apps[[#This Row],[CandID]],Cands[[CandID]:[Cand_Name]],2,0)</f>
        <v>Hou Sreypov</v>
      </c>
      <c r="D423" s="1" t="s">
        <v>100</v>
      </c>
      <c r="E423" s="1" t="str">
        <f>_xlfn.IFNA(VLOOKUP(Apps[[#This Row],[PostID]],Posts[[PostID]:[Position]],2,0),"")</f>
        <v>Sales Director</v>
      </c>
      <c r="F423" s="4">
        <v>45392</v>
      </c>
      <c r="G423" s="3" t="s">
        <v>2845</v>
      </c>
      <c r="H423" s="8" t="s">
        <v>3477</v>
      </c>
      <c r="I423" s="4">
        <v>45401</v>
      </c>
      <c r="M423" s="3"/>
      <c r="P423" s="5">
        <v>250</v>
      </c>
    </row>
    <row r="424" spans="1:16" x14ac:dyDescent="0.3">
      <c r="A424" s="1" t="s">
        <v>3276</v>
      </c>
      <c r="B424" s="1" t="s">
        <v>2644</v>
      </c>
      <c r="C424" s="1" t="str">
        <f>VLOOKUP(Apps[[#This Row],[CandID]],Cands[[CandID]:[Cand_Name]],2,0)</f>
        <v>Hong Senghout</v>
      </c>
      <c r="D424" s="1" t="s">
        <v>100</v>
      </c>
      <c r="E424" s="1" t="str">
        <f>_xlfn.IFNA(VLOOKUP(Apps[[#This Row],[PostID]],Posts[[PostID]:[Position]],2,0),"")</f>
        <v>Sales Director</v>
      </c>
      <c r="F424" s="4">
        <v>45393</v>
      </c>
      <c r="G424" s="3" t="s">
        <v>2847</v>
      </c>
      <c r="H424" s="8" t="s">
        <v>3477</v>
      </c>
      <c r="I424" s="4">
        <v>45405</v>
      </c>
      <c r="M424" s="3"/>
    </row>
    <row r="425" spans="1:16" x14ac:dyDescent="0.3">
      <c r="A425" s="1" t="s">
        <v>3277</v>
      </c>
      <c r="B425" s="1" t="s">
        <v>2645</v>
      </c>
      <c r="C425" s="1" t="str">
        <f>VLOOKUP(Apps[[#This Row],[CandID]],Cands[[CandID]:[Cand_Name]],2,0)</f>
        <v>Bun Chheang</v>
      </c>
      <c r="D425" s="1" t="s">
        <v>126</v>
      </c>
      <c r="E425" s="1" t="str">
        <f>_xlfn.IFNA(VLOOKUP(Apps[[#This Row],[PostID]],Posts[[PostID]:[Position]],2,0),"")</f>
        <v>Architect</v>
      </c>
      <c r="F425" s="4">
        <v>45388</v>
      </c>
      <c r="G425" s="3" t="s">
        <v>2847</v>
      </c>
      <c r="M425" s="3"/>
    </row>
    <row r="426" spans="1:16" x14ac:dyDescent="0.3">
      <c r="A426" s="1" t="s">
        <v>3278</v>
      </c>
      <c r="B426" s="1" t="s">
        <v>2646</v>
      </c>
      <c r="C426" s="1" t="str">
        <f>VLOOKUP(Apps[[#This Row],[CandID]],Cands[[CandID]:[Cand_Name]],2,0)</f>
        <v>Sreng Borey</v>
      </c>
      <c r="D426" s="1" t="s">
        <v>99</v>
      </c>
      <c r="E426" s="1" t="str">
        <f>_xlfn.IFNA(VLOOKUP(Apps[[#This Row],[PostID]],Posts[[PostID]:[Position]],2,0),"")</f>
        <v>Deputy Marketing Manager (event)</v>
      </c>
      <c r="F426" s="4">
        <v>45388</v>
      </c>
      <c r="G426" s="3" t="s">
        <v>2847</v>
      </c>
      <c r="M426" s="3"/>
    </row>
    <row r="427" spans="1:16" x14ac:dyDescent="0.3">
      <c r="A427" s="1" t="s">
        <v>3279</v>
      </c>
      <c r="B427" s="1" t="s">
        <v>2647</v>
      </c>
      <c r="C427" s="1" t="str">
        <f>VLOOKUP(Apps[[#This Row],[CandID]],Cands[[CandID]:[Cand_Name]],2,0)</f>
        <v>Ban Henglean</v>
      </c>
      <c r="D427" s="1" t="s">
        <v>100</v>
      </c>
      <c r="E427" s="1" t="str">
        <f>_xlfn.IFNA(VLOOKUP(Apps[[#This Row],[PostID]],Posts[[PostID]:[Position]],2,0),"")</f>
        <v>Sales Director</v>
      </c>
      <c r="F427" s="4">
        <v>45391</v>
      </c>
      <c r="G427" s="3" t="s">
        <v>2847</v>
      </c>
      <c r="H427" s="8" t="s">
        <v>3477</v>
      </c>
      <c r="I427" s="4">
        <v>45405</v>
      </c>
      <c r="J427" s="4">
        <v>45412</v>
      </c>
      <c r="K427" s="8" t="s">
        <v>2852</v>
      </c>
      <c r="M427" s="3"/>
      <c r="O427" s="5">
        <v>680</v>
      </c>
      <c r="P427" s="5">
        <v>400</v>
      </c>
    </row>
    <row r="428" spans="1:16" x14ac:dyDescent="0.3">
      <c r="A428" s="1" t="s">
        <v>3280</v>
      </c>
      <c r="B428" s="1" t="s">
        <v>2648</v>
      </c>
      <c r="C428" s="1" t="str">
        <f>VLOOKUP(Apps[[#This Row],[CandID]],Cands[[CandID]:[Cand_Name]],2,0)</f>
        <v>Hor Barang</v>
      </c>
      <c r="D428" s="1" t="s">
        <v>105</v>
      </c>
      <c r="E428" s="1" t="str">
        <f>_xlfn.IFNA(VLOOKUP(Apps[[#This Row],[PostID]],Posts[[PostID]:[Position]],2,0),"")</f>
        <v>Deputy IT Manager</v>
      </c>
      <c r="F428" s="4">
        <v>45392</v>
      </c>
      <c r="G428" s="3" t="s">
        <v>2847</v>
      </c>
      <c r="H428" s="8" t="s">
        <v>3475</v>
      </c>
      <c r="K428" s="8" t="s">
        <v>3521</v>
      </c>
      <c r="M428" s="3"/>
    </row>
    <row r="429" spans="1:16" x14ac:dyDescent="0.3">
      <c r="A429" s="1" t="s">
        <v>3281</v>
      </c>
      <c r="B429" s="1" t="s">
        <v>2649</v>
      </c>
      <c r="C429" s="1" t="str">
        <f>VLOOKUP(Apps[[#This Row],[CandID]],Cands[[CandID]:[Cand_Name]],2,0)</f>
        <v>Hoy Nim</v>
      </c>
      <c r="D429" s="1" t="s">
        <v>105</v>
      </c>
      <c r="E429" s="1" t="str">
        <f>_xlfn.IFNA(VLOOKUP(Apps[[#This Row],[PostID]],Posts[[PostID]:[Position]],2,0),"")</f>
        <v>Deputy IT Manager</v>
      </c>
      <c r="F429" s="4">
        <v>45393</v>
      </c>
      <c r="G429" s="3" t="s">
        <v>2847</v>
      </c>
      <c r="M429" s="3"/>
    </row>
    <row r="430" spans="1:16" x14ac:dyDescent="0.3">
      <c r="A430" s="1" t="s">
        <v>3282</v>
      </c>
      <c r="B430" s="1" t="s">
        <v>2650</v>
      </c>
      <c r="C430" s="1" t="str">
        <f>VLOOKUP(Apps[[#This Row],[CandID]],Cands[[CandID]:[Cand_Name]],2,0)</f>
        <v>Kem Neang</v>
      </c>
      <c r="D430" s="1" t="s">
        <v>100</v>
      </c>
      <c r="E430" s="1" t="str">
        <f>_xlfn.IFNA(VLOOKUP(Apps[[#This Row],[PostID]],Posts[[PostID]:[Position]],2,0),"")</f>
        <v>Sales Director</v>
      </c>
      <c r="F430" s="4">
        <v>45393</v>
      </c>
      <c r="G430" s="3" t="s">
        <v>2847</v>
      </c>
      <c r="H430" s="8" t="s">
        <v>3477</v>
      </c>
      <c r="I430" s="4">
        <v>45401</v>
      </c>
      <c r="M430" s="3"/>
      <c r="O430" s="5">
        <v>400</v>
      </c>
      <c r="P430" s="5">
        <v>400</v>
      </c>
    </row>
    <row r="431" spans="1:16" x14ac:dyDescent="0.3">
      <c r="A431" s="1" t="s">
        <v>3283</v>
      </c>
      <c r="B431" s="1" t="s">
        <v>2651</v>
      </c>
      <c r="C431" s="1" t="str">
        <f>VLOOKUP(Apps[[#This Row],[CandID]],Cands[[CandID]:[Cand_Name]],2,0)</f>
        <v>Say Sopheap</v>
      </c>
      <c r="D431" s="1" t="s">
        <v>99</v>
      </c>
      <c r="E431" s="1" t="str">
        <f>_xlfn.IFNA(VLOOKUP(Apps[[#This Row],[PostID]],Posts[[PostID]:[Position]],2,0),"")</f>
        <v>Deputy Marketing Manager (event)</v>
      </c>
      <c r="F431" s="4">
        <v>45393</v>
      </c>
      <c r="G431" s="3" t="s">
        <v>2847</v>
      </c>
      <c r="H431" s="8" t="s">
        <v>3475</v>
      </c>
      <c r="K431" s="8" t="s">
        <v>3521</v>
      </c>
      <c r="M431" s="3"/>
    </row>
    <row r="432" spans="1:16" x14ac:dyDescent="0.3">
      <c r="A432" s="1" t="s">
        <v>3284</v>
      </c>
      <c r="B432" s="1" t="s">
        <v>2652</v>
      </c>
      <c r="C432" s="1" t="str">
        <f>VLOOKUP(Apps[[#This Row],[CandID]],Cands[[CandID]:[Cand_Name]],2,0)</f>
        <v>Son Sovanpor</v>
      </c>
      <c r="D432" s="1" t="s">
        <v>98</v>
      </c>
      <c r="E432" s="1" t="str">
        <f>_xlfn.IFNA(VLOOKUP(Apps[[#This Row],[PostID]],Posts[[PostID]:[Position]],2,0),"")</f>
        <v>Marketing Manager</v>
      </c>
      <c r="F432" s="4">
        <v>45394</v>
      </c>
      <c r="G432" s="3" t="s">
        <v>2847</v>
      </c>
      <c r="H432" s="8" t="s">
        <v>3475</v>
      </c>
      <c r="K432" s="8" t="s">
        <v>3521</v>
      </c>
      <c r="M432" s="3"/>
    </row>
    <row r="433" spans="1:16" x14ac:dyDescent="0.3">
      <c r="A433" s="1" t="s">
        <v>3285</v>
      </c>
      <c r="B433" s="1" t="s">
        <v>2653</v>
      </c>
      <c r="C433" s="1" t="str">
        <f>VLOOKUP(Apps[[#This Row],[CandID]],Cands[[CandID]:[Cand_Name]],2,0)</f>
        <v>Rot Sothea</v>
      </c>
      <c r="D433" s="1" t="s">
        <v>98</v>
      </c>
      <c r="E433" s="1" t="str">
        <f>_xlfn.IFNA(VLOOKUP(Apps[[#This Row],[PostID]],Posts[[PostID]:[Position]],2,0),"")</f>
        <v>Marketing Manager</v>
      </c>
      <c r="F433" s="4">
        <v>45396</v>
      </c>
      <c r="G433" s="3" t="s">
        <v>2847</v>
      </c>
      <c r="H433" s="8" t="s">
        <v>3475</v>
      </c>
      <c r="K433" s="8" t="s">
        <v>3521</v>
      </c>
      <c r="M433" s="3"/>
    </row>
    <row r="434" spans="1:16" x14ac:dyDescent="0.3">
      <c r="A434" s="1" t="s">
        <v>3286</v>
      </c>
      <c r="B434" s="1" t="s">
        <v>2654</v>
      </c>
      <c r="C434" s="1" t="str">
        <f>VLOOKUP(Apps[[#This Row],[CandID]],Cands[[CandID]:[Cand_Name]],2,0)</f>
        <v>Thanara Devid</v>
      </c>
      <c r="D434" s="1" t="s">
        <v>100</v>
      </c>
      <c r="E434" s="1" t="str">
        <f>_xlfn.IFNA(VLOOKUP(Apps[[#This Row],[PostID]],Posts[[PostID]:[Position]],2,0),"")</f>
        <v>Sales Director</v>
      </c>
      <c r="F434" s="4">
        <v>45396</v>
      </c>
      <c r="G434" s="3" t="s">
        <v>2847</v>
      </c>
      <c r="H434" s="8" t="s">
        <v>3475</v>
      </c>
      <c r="K434" s="8" t="s">
        <v>3521</v>
      </c>
      <c r="M434" s="3"/>
    </row>
    <row r="435" spans="1:16" x14ac:dyDescent="0.3">
      <c r="A435" s="1" t="s">
        <v>3287</v>
      </c>
      <c r="B435" s="1" t="s">
        <v>2655</v>
      </c>
      <c r="C435" s="1" t="str">
        <f>VLOOKUP(Apps[[#This Row],[CandID]],Cands[[CandID]:[Cand_Name]],2,0)</f>
        <v>Em Sovannaroth</v>
      </c>
      <c r="D435" s="1" t="s">
        <v>100</v>
      </c>
      <c r="E435" s="1" t="str">
        <f>_xlfn.IFNA(VLOOKUP(Apps[[#This Row],[PostID]],Posts[[PostID]:[Position]],2,0),"")</f>
        <v>Sales Director</v>
      </c>
      <c r="F435" s="4">
        <v>45398</v>
      </c>
      <c r="G435" s="3" t="s">
        <v>2847</v>
      </c>
      <c r="H435" s="8" t="s">
        <v>3475</v>
      </c>
      <c r="K435" s="8" t="s">
        <v>3521</v>
      </c>
      <c r="M435" s="3"/>
    </row>
    <row r="436" spans="1:16" x14ac:dyDescent="0.3">
      <c r="A436" s="1" t="s">
        <v>3288</v>
      </c>
      <c r="B436" s="1" t="s">
        <v>2656</v>
      </c>
      <c r="C436" s="1" t="str">
        <f>VLOOKUP(Apps[[#This Row],[CandID]],Cands[[CandID]:[Cand_Name]],2,0)</f>
        <v>Mann Punluepich</v>
      </c>
      <c r="D436" s="1" t="s">
        <v>100</v>
      </c>
      <c r="E436" s="1" t="str">
        <f>_xlfn.IFNA(VLOOKUP(Apps[[#This Row],[PostID]],Posts[[PostID]:[Position]],2,0),"")</f>
        <v>Sales Director</v>
      </c>
      <c r="F436" s="4">
        <v>45398</v>
      </c>
      <c r="G436" s="3" t="s">
        <v>2847</v>
      </c>
      <c r="H436" s="8" t="s">
        <v>3477</v>
      </c>
      <c r="I436" s="4">
        <v>45401</v>
      </c>
      <c r="M436" s="3"/>
      <c r="O436" s="5">
        <v>2700</v>
      </c>
      <c r="P436" s="5">
        <v>2700</v>
      </c>
    </row>
    <row r="437" spans="1:16" x14ac:dyDescent="0.3">
      <c r="A437" s="1" t="s">
        <v>3289</v>
      </c>
      <c r="B437" s="1" t="s">
        <v>2657</v>
      </c>
      <c r="C437" s="1" t="str">
        <f>VLOOKUP(Apps[[#This Row],[CandID]],Cands[[CandID]:[Cand_Name]],2,0)</f>
        <v>Rich Bora</v>
      </c>
      <c r="D437" s="1" t="s">
        <v>100</v>
      </c>
      <c r="E437" s="1" t="str">
        <f>_xlfn.IFNA(VLOOKUP(Apps[[#This Row],[PostID]],Posts[[PostID]:[Position]],2,0),"")</f>
        <v>Sales Director</v>
      </c>
      <c r="F437" s="4">
        <v>45398</v>
      </c>
      <c r="G437" s="3" t="s">
        <v>2847</v>
      </c>
      <c r="H437" s="8" t="s">
        <v>3477</v>
      </c>
      <c r="I437" s="4">
        <v>45401</v>
      </c>
      <c r="M437" s="3"/>
      <c r="O437" s="5">
        <v>2500</v>
      </c>
      <c r="P437" s="5">
        <v>3000</v>
      </c>
    </row>
    <row r="438" spans="1:16" x14ac:dyDescent="0.3">
      <c r="A438" s="1" t="s">
        <v>3290</v>
      </c>
      <c r="B438" s="1" t="s">
        <v>2658</v>
      </c>
      <c r="C438" s="1" t="str">
        <f>VLOOKUP(Apps[[#This Row],[CandID]],Cands[[CandID]:[Cand_Name]],2,0)</f>
        <v>Mom Vanna</v>
      </c>
      <c r="D438" s="1" t="s">
        <v>99</v>
      </c>
      <c r="E438" s="1" t="str">
        <f>_xlfn.IFNA(VLOOKUP(Apps[[#This Row],[PostID]],Posts[[PostID]:[Position]],2,0),"")</f>
        <v>Deputy Marketing Manager (event)</v>
      </c>
      <c r="F438" s="4">
        <v>45399</v>
      </c>
      <c r="G438" s="3" t="s">
        <v>2847</v>
      </c>
      <c r="M438" s="3"/>
    </row>
    <row r="439" spans="1:16" x14ac:dyDescent="0.3">
      <c r="A439" s="1" t="s">
        <v>3291</v>
      </c>
      <c r="B439" s="1" t="s">
        <v>2659</v>
      </c>
      <c r="C439" s="1" t="str">
        <f>VLOOKUP(Apps[[#This Row],[CandID]],Cands[[CandID]:[Cand_Name]],2,0)</f>
        <v>Tan Thearin</v>
      </c>
      <c r="D439" s="1" t="s">
        <v>99</v>
      </c>
      <c r="E439" s="1" t="str">
        <f>_xlfn.IFNA(VLOOKUP(Apps[[#This Row],[PostID]],Posts[[PostID]:[Position]],2,0),"")</f>
        <v>Deputy Marketing Manager (event)</v>
      </c>
      <c r="F439" s="4">
        <v>45399</v>
      </c>
      <c r="G439" s="3" t="s">
        <v>2847</v>
      </c>
      <c r="H439" s="8" t="s">
        <v>3475</v>
      </c>
      <c r="K439" s="8" t="s">
        <v>3521</v>
      </c>
      <c r="M439" s="3"/>
    </row>
    <row r="440" spans="1:16" x14ac:dyDescent="0.3">
      <c r="A440" s="1" t="s">
        <v>3292</v>
      </c>
      <c r="B440" s="1" t="s">
        <v>2660</v>
      </c>
      <c r="C440" s="1" t="str">
        <f>VLOOKUP(Apps[[#This Row],[CandID]],Cands[[CandID]:[Cand_Name]],2,0)</f>
        <v>Yem Chetra</v>
      </c>
      <c r="D440" s="1" t="s">
        <v>105</v>
      </c>
      <c r="E440" s="1" t="str">
        <f>_xlfn.IFNA(VLOOKUP(Apps[[#This Row],[PostID]],Posts[[PostID]:[Position]],2,0),"")</f>
        <v>Deputy IT Manager</v>
      </c>
      <c r="F440" s="4">
        <v>45399</v>
      </c>
      <c r="G440" s="3" t="s">
        <v>2847</v>
      </c>
      <c r="H440" s="8" t="s">
        <v>3477</v>
      </c>
      <c r="M440" s="3"/>
    </row>
    <row r="441" spans="1:16" x14ac:dyDescent="0.3">
      <c r="A441" s="1" t="s">
        <v>3293</v>
      </c>
      <c r="B441" s="1" t="s">
        <v>2661</v>
      </c>
      <c r="C441" s="1" t="str">
        <f>VLOOKUP(Apps[[#This Row],[CandID]],Cands[[CandID]:[Cand_Name]],2,0)</f>
        <v>Nov Sokkon</v>
      </c>
      <c r="D441" s="1" t="s">
        <v>98</v>
      </c>
      <c r="E441" s="1" t="str">
        <f>_xlfn.IFNA(VLOOKUP(Apps[[#This Row],[PostID]],Posts[[PostID]:[Position]],2,0),"")</f>
        <v>Marketing Manager</v>
      </c>
      <c r="F441" s="4">
        <v>45400</v>
      </c>
      <c r="G441" s="3" t="s">
        <v>2847</v>
      </c>
      <c r="H441" s="8" t="s">
        <v>3475</v>
      </c>
      <c r="K441" s="8" t="s">
        <v>3521</v>
      </c>
      <c r="M441" s="3"/>
    </row>
    <row r="442" spans="1:16" x14ac:dyDescent="0.3">
      <c r="A442" s="1" t="s">
        <v>3294</v>
      </c>
      <c r="B442" s="1" t="s">
        <v>2662</v>
      </c>
      <c r="C442" s="1" t="str">
        <f>VLOOKUP(Apps[[#This Row],[CandID]],Cands[[CandID]:[Cand_Name]],2,0)</f>
        <v>Sam Ponleu</v>
      </c>
      <c r="D442" s="1" t="s">
        <v>99</v>
      </c>
      <c r="E442" s="1" t="str">
        <f>_xlfn.IFNA(VLOOKUP(Apps[[#This Row],[PostID]],Posts[[PostID]:[Position]],2,0),"")</f>
        <v>Deputy Marketing Manager (event)</v>
      </c>
      <c r="F442" s="4">
        <v>45399</v>
      </c>
      <c r="G442" s="3" t="s">
        <v>2847</v>
      </c>
      <c r="M442" s="3"/>
    </row>
    <row r="443" spans="1:16" x14ac:dyDescent="0.3">
      <c r="A443" s="1" t="s">
        <v>3295</v>
      </c>
      <c r="B443" s="1" t="s">
        <v>2663</v>
      </c>
      <c r="C443" s="1" t="str">
        <f>VLOOKUP(Apps[[#This Row],[CandID]],Cands[[CandID]:[Cand_Name]],2,0)</f>
        <v>Chen Thida</v>
      </c>
      <c r="D443" s="1" t="s">
        <v>100</v>
      </c>
      <c r="E443" s="1" t="str">
        <f>_xlfn.IFNA(VLOOKUP(Apps[[#This Row],[PostID]],Posts[[PostID]:[Position]],2,0),"")</f>
        <v>Sales Director</v>
      </c>
      <c r="F443" s="4">
        <v>45393</v>
      </c>
      <c r="G443" s="3" t="s">
        <v>3539</v>
      </c>
      <c r="H443" s="8" t="s">
        <v>3475</v>
      </c>
      <c r="K443" s="8" t="s">
        <v>3521</v>
      </c>
      <c r="M443" s="3"/>
    </row>
    <row r="444" spans="1:16" x14ac:dyDescent="0.3">
      <c r="A444" s="1" t="s">
        <v>3296</v>
      </c>
      <c r="B444" s="1" t="s">
        <v>2664</v>
      </c>
      <c r="C444" s="1" t="str">
        <f>VLOOKUP(Apps[[#This Row],[CandID]],Cands[[CandID]:[Cand_Name]],2,0)</f>
        <v>Yon Sokren</v>
      </c>
      <c r="D444" s="1" t="s">
        <v>126</v>
      </c>
      <c r="E444" s="1" t="str">
        <f>_xlfn.IFNA(VLOOKUP(Apps[[#This Row],[PostID]],Posts[[PostID]:[Position]],2,0),"")</f>
        <v>Architect</v>
      </c>
      <c r="F444" s="4">
        <v>45390</v>
      </c>
      <c r="G444" s="3" t="s">
        <v>3539</v>
      </c>
      <c r="M444" s="3"/>
    </row>
    <row r="445" spans="1:16" x14ac:dyDescent="0.3">
      <c r="A445" s="1" t="s">
        <v>3297</v>
      </c>
      <c r="B445" s="1" t="s">
        <v>2665</v>
      </c>
      <c r="C445" s="1" t="str">
        <f>VLOOKUP(Apps[[#This Row],[CandID]],Cands[[CandID]:[Cand_Name]],2,0)</f>
        <v>Ngin Pheakdey</v>
      </c>
      <c r="D445" s="1" t="s">
        <v>100</v>
      </c>
      <c r="E445" s="1" t="str">
        <f>_xlfn.IFNA(VLOOKUP(Apps[[#This Row],[PostID]],Posts[[PostID]:[Position]],2,0),"")</f>
        <v>Sales Director</v>
      </c>
      <c r="F445" s="4">
        <v>45392</v>
      </c>
      <c r="G445" s="3" t="s">
        <v>2845</v>
      </c>
      <c r="H445" s="8" t="s">
        <v>3477</v>
      </c>
      <c r="I445" s="4">
        <v>45401</v>
      </c>
      <c r="M445" s="3"/>
      <c r="O445" s="5">
        <v>3200</v>
      </c>
      <c r="P445" s="5">
        <v>3500</v>
      </c>
    </row>
    <row r="446" spans="1:16" x14ac:dyDescent="0.3">
      <c r="A446" s="1" t="s">
        <v>3298</v>
      </c>
      <c r="B446" s="1" t="s">
        <v>2666</v>
      </c>
      <c r="C446" s="1" t="str">
        <f>VLOOKUP(Apps[[#This Row],[CandID]],Cands[[CandID]:[Cand_Name]],2,0)</f>
        <v>Nav Pourtchhorpornraingsey</v>
      </c>
      <c r="D446" s="1" t="s">
        <v>100</v>
      </c>
      <c r="E446" s="1" t="str">
        <f>_xlfn.IFNA(VLOOKUP(Apps[[#This Row],[PostID]],Posts[[PostID]:[Position]],2,0),"")</f>
        <v>Sales Director</v>
      </c>
      <c r="F446" s="4">
        <v>45393</v>
      </c>
      <c r="G446" s="3" t="s">
        <v>2845</v>
      </c>
      <c r="M446" s="3"/>
    </row>
    <row r="447" spans="1:16" x14ac:dyDescent="0.3">
      <c r="A447" s="1" t="s">
        <v>3299</v>
      </c>
      <c r="B447" s="1" t="s">
        <v>2667</v>
      </c>
      <c r="C447" s="1" t="str">
        <f>VLOOKUP(Apps[[#This Row],[CandID]],Cands[[CandID]:[Cand_Name]],2,0)</f>
        <v>Sok Touch</v>
      </c>
      <c r="D447" s="1" t="s">
        <v>114</v>
      </c>
      <c r="E447" s="1" t="str">
        <f>_xlfn.IFNA(VLOOKUP(Apps[[#This Row],[PostID]],Posts[[PostID]:[Position]],2,0),"")</f>
        <v>Driver</v>
      </c>
      <c r="F447" s="4">
        <v>45391</v>
      </c>
      <c r="G447" s="3" t="s">
        <v>2848</v>
      </c>
      <c r="M447" s="3"/>
    </row>
    <row r="448" spans="1:16" x14ac:dyDescent="0.3">
      <c r="A448" s="1" t="s">
        <v>3300</v>
      </c>
      <c r="B448" s="1" t="s">
        <v>2668</v>
      </c>
      <c r="C448" s="1" t="str">
        <f>VLOOKUP(Apps[[#This Row],[CandID]],Cands[[CandID]:[Cand_Name]],2,0)</f>
        <v>Tep Sopheap</v>
      </c>
      <c r="D448" s="1" t="s">
        <v>114</v>
      </c>
      <c r="E448" s="1" t="str">
        <f>_xlfn.IFNA(VLOOKUP(Apps[[#This Row],[PostID]],Posts[[PostID]:[Position]],2,0),"")</f>
        <v>Driver</v>
      </c>
      <c r="F448" s="4">
        <v>45391</v>
      </c>
      <c r="G448" s="3" t="s">
        <v>2848</v>
      </c>
      <c r="M448" s="3"/>
    </row>
    <row r="449" spans="1:13" x14ac:dyDescent="0.3">
      <c r="A449" s="1" t="s">
        <v>3301</v>
      </c>
      <c r="B449" s="1" t="s">
        <v>2669</v>
      </c>
      <c r="C449" s="1" t="str">
        <f>VLOOKUP(Apps[[#This Row],[CandID]],Cands[[CandID]:[Cand_Name]],2,0)</f>
        <v>Yoeung Yuthy</v>
      </c>
      <c r="D449" s="1" t="s">
        <v>99</v>
      </c>
      <c r="E449" s="1" t="str">
        <f>_xlfn.IFNA(VLOOKUP(Apps[[#This Row],[PostID]],Posts[[PostID]:[Position]],2,0),"")</f>
        <v>Deputy Marketing Manager (event)</v>
      </c>
      <c r="F449" s="4">
        <v>45388</v>
      </c>
      <c r="G449" s="3" t="s">
        <v>2848</v>
      </c>
      <c r="H449" s="8" t="s">
        <v>3475</v>
      </c>
      <c r="K449" s="8" t="s">
        <v>3521</v>
      </c>
      <c r="M449" s="3"/>
    </row>
    <row r="450" spans="1:13" x14ac:dyDescent="0.3">
      <c r="A450" s="1" t="s">
        <v>3302</v>
      </c>
      <c r="B450" s="1" t="s">
        <v>2670</v>
      </c>
      <c r="C450" s="1" t="str">
        <f>VLOOKUP(Apps[[#This Row],[CandID]],Cands[[CandID]:[Cand_Name]],2,0)</f>
        <v>Yem Seyha</v>
      </c>
      <c r="D450" s="1" t="s">
        <v>100</v>
      </c>
      <c r="E450" s="1" t="str">
        <f>_xlfn.IFNA(VLOOKUP(Apps[[#This Row],[PostID]],Posts[[PostID]:[Position]],2,0),"")</f>
        <v>Sales Director</v>
      </c>
      <c r="F450" s="4">
        <v>45389</v>
      </c>
      <c r="G450" s="3" t="s">
        <v>2848</v>
      </c>
      <c r="H450" s="8" t="s">
        <v>3475</v>
      </c>
      <c r="K450" s="8" t="s">
        <v>3521</v>
      </c>
      <c r="M450" s="3"/>
    </row>
    <row r="451" spans="1:13" x14ac:dyDescent="0.3">
      <c r="A451" s="1" t="s">
        <v>3303</v>
      </c>
      <c r="B451" s="1" t="s">
        <v>2671</v>
      </c>
      <c r="C451" s="1" t="str">
        <f>VLOOKUP(Apps[[#This Row],[CandID]],Cands[[CandID]:[Cand_Name]],2,0)</f>
        <v>Khon Sokseyha</v>
      </c>
      <c r="D451" s="1" t="s">
        <v>100</v>
      </c>
      <c r="E451" s="1" t="str">
        <f>_xlfn.IFNA(VLOOKUP(Apps[[#This Row],[PostID]],Posts[[PostID]:[Position]],2,0),"")</f>
        <v>Sales Director</v>
      </c>
      <c r="F451" s="4">
        <v>45390</v>
      </c>
      <c r="G451" s="3" t="s">
        <v>2848</v>
      </c>
      <c r="M451" s="3"/>
    </row>
    <row r="452" spans="1:13" x14ac:dyDescent="0.3">
      <c r="A452" s="1" t="s">
        <v>3304</v>
      </c>
      <c r="B452" s="1" t="s">
        <v>2672</v>
      </c>
      <c r="C452" s="1" t="str">
        <f>VLOOKUP(Apps[[#This Row],[CandID]],Cands[[CandID]:[Cand_Name]],2,0)</f>
        <v>Khou Sophea</v>
      </c>
      <c r="D452" s="1" t="s">
        <v>1115</v>
      </c>
      <c r="E452" s="1" t="str">
        <f>_xlfn.IFNA(VLOOKUP(Apps[[#This Row],[PostID]],Posts[[PostID]:[Position]],2,0),"")</f>
        <v/>
      </c>
      <c r="F452" s="4">
        <v>45399</v>
      </c>
      <c r="G452" s="3" t="s">
        <v>2848</v>
      </c>
      <c r="M452" s="3"/>
    </row>
    <row r="453" spans="1:13" x14ac:dyDescent="0.3">
      <c r="A453" s="1" t="s">
        <v>3305</v>
      </c>
      <c r="B453" s="1" t="s">
        <v>2673</v>
      </c>
      <c r="C453" s="1" t="str">
        <f>VLOOKUP(Apps[[#This Row],[CandID]],Cands[[CandID]:[Cand_Name]],2,0)</f>
        <v>Chann Lyheng</v>
      </c>
      <c r="D453" s="1" t="s">
        <v>115</v>
      </c>
      <c r="E453" s="1" t="str">
        <f>_xlfn.IFNA(VLOOKUP(Apps[[#This Row],[PostID]],Posts[[PostID]:[Position]],2,0),"")</f>
        <v>Admin and Accounting Officer</v>
      </c>
      <c r="F453" s="4">
        <v>45399</v>
      </c>
      <c r="G453" s="3" t="s">
        <v>3539</v>
      </c>
      <c r="H453" s="8" t="s">
        <v>3475</v>
      </c>
      <c r="K453" s="8" t="s">
        <v>3521</v>
      </c>
      <c r="M453" s="3"/>
    </row>
    <row r="454" spans="1:13" x14ac:dyDescent="0.3">
      <c r="A454" s="1" t="s">
        <v>3306</v>
      </c>
      <c r="B454" s="1" t="s">
        <v>2674</v>
      </c>
      <c r="C454" s="1" t="str">
        <f>VLOOKUP(Apps[[#This Row],[CandID]],Cands[[CandID]:[Cand_Name]],2,0)</f>
        <v>Khou Suyhong</v>
      </c>
      <c r="D454" s="1" t="s">
        <v>100</v>
      </c>
      <c r="E454" s="1" t="str">
        <f>_xlfn.IFNA(VLOOKUP(Apps[[#This Row],[PostID]],Posts[[PostID]:[Position]],2,0),"")</f>
        <v>Sales Director</v>
      </c>
      <c r="F454" s="4">
        <v>45399</v>
      </c>
      <c r="G454" s="3" t="s">
        <v>2847</v>
      </c>
      <c r="M454" s="3"/>
    </row>
    <row r="455" spans="1:13" x14ac:dyDescent="0.3">
      <c r="A455" s="1" t="s">
        <v>3307</v>
      </c>
      <c r="B455" s="1" t="s">
        <v>2675</v>
      </c>
      <c r="C455" s="1" t="str">
        <f>VLOOKUP(Apps[[#This Row],[CandID]],Cands[[CandID]:[Cand_Name]],2,0)</f>
        <v>Nuth Pumphano</v>
      </c>
      <c r="D455" s="1" t="s">
        <v>105</v>
      </c>
      <c r="E455" s="1" t="str">
        <f>_xlfn.IFNA(VLOOKUP(Apps[[#This Row],[PostID]],Posts[[PostID]:[Position]],2,0),"")</f>
        <v>Deputy IT Manager</v>
      </c>
      <c r="F455" s="4">
        <v>45399</v>
      </c>
      <c r="G455" s="3" t="s">
        <v>2847</v>
      </c>
      <c r="M455" s="3"/>
    </row>
    <row r="456" spans="1:13" x14ac:dyDescent="0.3">
      <c r="A456" s="1" t="s">
        <v>3308</v>
      </c>
      <c r="B456" s="1" t="s">
        <v>2676</v>
      </c>
      <c r="C456" s="1" t="str">
        <f>VLOOKUP(Apps[[#This Row],[CandID]],Cands[[CandID]:[Cand_Name]],2,0)</f>
        <v>Hem Wat</v>
      </c>
      <c r="D456" s="1" t="s">
        <v>100</v>
      </c>
      <c r="E456" s="1" t="str">
        <f>_xlfn.IFNA(VLOOKUP(Apps[[#This Row],[PostID]],Posts[[PostID]:[Position]],2,0),"")</f>
        <v>Sales Director</v>
      </c>
      <c r="F456" s="4">
        <v>45400</v>
      </c>
      <c r="G456" s="3" t="s">
        <v>2847</v>
      </c>
      <c r="M456" s="3"/>
    </row>
    <row r="457" spans="1:13" x14ac:dyDescent="0.3">
      <c r="A457" s="1" t="s">
        <v>3309</v>
      </c>
      <c r="B457" s="1" t="s">
        <v>2677</v>
      </c>
      <c r="C457" s="1" t="str">
        <f>VLOOKUP(Apps[[#This Row],[CandID]],Cands[[CandID]:[Cand_Name]],2,0)</f>
        <v>Keo David</v>
      </c>
      <c r="D457" s="1" t="s">
        <v>98</v>
      </c>
      <c r="E457" s="1" t="str">
        <f>_xlfn.IFNA(VLOOKUP(Apps[[#This Row],[PostID]],Posts[[PostID]:[Position]],2,0),"")</f>
        <v>Marketing Manager</v>
      </c>
      <c r="F457" s="4">
        <v>45400</v>
      </c>
      <c r="G457" s="3" t="s">
        <v>2847</v>
      </c>
      <c r="H457" s="8" t="s">
        <v>3477</v>
      </c>
      <c r="I457" s="4">
        <v>45407</v>
      </c>
      <c r="M457" s="3"/>
    </row>
    <row r="458" spans="1:13" x14ac:dyDescent="0.3">
      <c r="A458" s="1" t="s">
        <v>3310</v>
      </c>
      <c r="B458" s="1" t="s">
        <v>2678</v>
      </c>
      <c r="C458" s="1" t="str">
        <f>VLOOKUP(Apps[[#This Row],[CandID]],Cands[[CandID]:[Cand_Name]],2,0)</f>
        <v>Chay Phally</v>
      </c>
      <c r="D458" s="1" t="s">
        <v>100</v>
      </c>
      <c r="E458" s="1" t="str">
        <f>_xlfn.IFNA(VLOOKUP(Apps[[#This Row],[PostID]],Posts[[PostID]:[Position]],2,0),"")</f>
        <v>Sales Director</v>
      </c>
      <c r="F458" s="4">
        <v>45400</v>
      </c>
      <c r="G458" s="3" t="s">
        <v>2847</v>
      </c>
      <c r="H458" s="8" t="s">
        <v>3475</v>
      </c>
      <c r="K458" s="8" t="s">
        <v>3521</v>
      </c>
      <c r="M458" s="3"/>
    </row>
    <row r="459" spans="1:13" x14ac:dyDescent="0.3">
      <c r="A459" s="1" t="s">
        <v>3311</v>
      </c>
      <c r="B459" s="1" t="s">
        <v>2679</v>
      </c>
      <c r="C459" s="1" t="str">
        <f>VLOOKUP(Apps[[#This Row],[CandID]],Cands[[CandID]:[Cand_Name]],2,0)</f>
        <v>Hong Lihor</v>
      </c>
      <c r="D459" s="1" t="s">
        <v>98</v>
      </c>
      <c r="E459" s="1" t="str">
        <f>_xlfn.IFNA(VLOOKUP(Apps[[#This Row],[PostID]],Posts[[PostID]:[Position]],2,0),"")</f>
        <v>Marketing Manager</v>
      </c>
      <c r="F459" s="4">
        <v>45400</v>
      </c>
      <c r="G459" s="3" t="s">
        <v>2847</v>
      </c>
      <c r="M459" s="3"/>
    </row>
    <row r="460" spans="1:13" x14ac:dyDescent="0.3">
      <c r="A460" s="1" t="s">
        <v>3312</v>
      </c>
      <c r="B460" s="1" t="s">
        <v>2680</v>
      </c>
      <c r="C460" s="1" t="str">
        <f>VLOOKUP(Apps[[#This Row],[CandID]],Cands[[CandID]:[Cand_Name]],2,0)</f>
        <v>Hor Chanthou</v>
      </c>
      <c r="D460" s="1" t="s">
        <v>100</v>
      </c>
      <c r="E460" s="1" t="str">
        <f>_xlfn.IFNA(VLOOKUP(Apps[[#This Row],[PostID]],Posts[[PostID]:[Position]],2,0),"")</f>
        <v>Sales Director</v>
      </c>
      <c r="F460" s="4">
        <v>45400</v>
      </c>
      <c r="G460" s="3" t="s">
        <v>2847</v>
      </c>
      <c r="H460" s="8" t="s">
        <v>3475</v>
      </c>
      <c r="K460" s="8" t="s">
        <v>3521</v>
      </c>
      <c r="M460" s="3"/>
    </row>
    <row r="461" spans="1:13" x14ac:dyDescent="0.3">
      <c r="A461" s="1" t="s">
        <v>3313</v>
      </c>
      <c r="B461" s="1" t="s">
        <v>2681</v>
      </c>
      <c r="C461" s="1" t="str">
        <f>VLOOKUP(Apps[[#This Row],[CandID]],Cands[[CandID]:[Cand_Name]],2,0)</f>
        <v>Khoung Hokly</v>
      </c>
      <c r="D461" s="1" t="s">
        <v>1115</v>
      </c>
      <c r="E461" s="1" t="str">
        <f>_xlfn.IFNA(VLOOKUP(Apps[[#This Row],[PostID]],Posts[[PostID]:[Position]],2,0),"")</f>
        <v/>
      </c>
      <c r="F461" s="4">
        <v>45400</v>
      </c>
      <c r="G461" s="3" t="s">
        <v>2847</v>
      </c>
      <c r="H461" s="8" t="s">
        <v>3477</v>
      </c>
      <c r="M461" s="3"/>
    </row>
    <row r="462" spans="1:13" x14ac:dyDescent="0.3">
      <c r="A462" s="1" t="s">
        <v>3314</v>
      </c>
      <c r="B462" s="1" t="s">
        <v>2682</v>
      </c>
      <c r="C462" s="1" t="str">
        <f>VLOOKUP(Apps[[#This Row],[CandID]],Cands[[CandID]:[Cand_Name]],2,0)</f>
        <v>Khuth Dolar</v>
      </c>
      <c r="D462" s="1" t="s">
        <v>100</v>
      </c>
      <c r="E462" s="1" t="str">
        <f>_xlfn.IFNA(VLOOKUP(Apps[[#This Row],[PostID]],Posts[[PostID]:[Position]],2,0),"")</f>
        <v>Sales Director</v>
      </c>
      <c r="F462" s="4">
        <v>45400</v>
      </c>
      <c r="G462" s="3" t="s">
        <v>2847</v>
      </c>
      <c r="M462" s="3"/>
    </row>
    <row r="463" spans="1:13" x14ac:dyDescent="0.3">
      <c r="A463" s="1" t="s">
        <v>3315</v>
      </c>
      <c r="B463" s="1" t="s">
        <v>2683</v>
      </c>
      <c r="C463" s="1" t="str">
        <f>VLOOKUP(Apps[[#This Row],[CandID]],Cands[[CandID]:[Cand_Name]],2,0)</f>
        <v>Mom Vanna</v>
      </c>
      <c r="D463" s="1" t="s">
        <v>99</v>
      </c>
      <c r="E463" s="1" t="str">
        <f>_xlfn.IFNA(VLOOKUP(Apps[[#This Row],[PostID]],Posts[[PostID]:[Position]],2,0),"")</f>
        <v>Deputy Marketing Manager (event)</v>
      </c>
      <c r="F463" s="4">
        <v>45400</v>
      </c>
      <c r="G463" s="3" t="s">
        <v>2847</v>
      </c>
      <c r="M463" s="3"/>
    </row>
    <row r="464" spans="1:13" x14ac:dyDescent="0.3">
      <c r="A464" s="1" t="s">
        <v>3316</v>
      </c>
      <c r="B464" s="1" t="s">
        <v>2684</v>
      </c>
      <c r="C464" s="1" t="str">
        <f>VLOOKUP(Apps[[#This Row],[CandID]],Cands[[CandID]:[Cand_Name]],2,0)</f>
        <v>Ra Davy</v>
      </c>
      <c r="D464" s="1" t="s">
        <v>100</v>
      </c>
      <c r="E464" s="1" t="str">
        <f>_xlfn.IFNA(VLOOKUP(Apps[[#This Row],[PostID]],Posts[[PostID]:[Position]],2,0),"")</f>
        <v>Sales Director</v>
      </c>
      <c r="F464" s="4">
        <v>45400</v>
      </c>
      <c r="G464" s="3" t="s">
        <v>2847</v>
      </c>
      <c r="H464" s="8" t="s">
        <v>3475</v>
      </c>
      <c r="K464" s="8" t="s">
        <v>3521</v>
      </c>
      <c r="M464" s="3"/>
    </row>
    <row r="465" spans="1:16" x14ac:dyDescent="0.3">
      <c r="A465" s="1" t="s">
        <v>3317</v>
      </c>
      <c r="B465" s="1" t="s">
        <v>2685</v>
      </c>
      <c r="C465" s="1" t="str">
        <f>VLOOKUP(Apps[[#This Row],[CandID]],Cands[[CandID]:[Cand_Name]],2,0)</f>
        <v>Sam Ponleu</v>
      </c>
      <c r="D465" s="1" t="s">
        <v>99</v>
      </c>
      <c r="E465" s="1" t="str">
        <f>_xlfn.IFNA(VLOOKUP(Apps[[#This Row],[PostID]],Posts[[PostID]:[Position]],2,0),"")</f>
        <v>Deputy Marketing Manager (event)</v>
      </c>
      <c r="F465" s="4">
        <v>45400</v>
      </c>
      <c r="G465" s="3" t="s">
        <v>2847</v>
      </c>
      <c r="M465" s="3"/>
    </row>
    <row r="466" spans="1:16" x14ac:dyDescent="0.3">
      <c r="A466" s="1" t="s">
        <v>3318</v>
      </c>
      <c r="B466" s="1" t="s">
        <v>2686</v>
      </c>
      <c r="C466" s="1" t="str">
        <f>VLOOKUP(Apps[[#This Row],[CandID]],Cands[[CandID]:[Cand_Name]],2,0)</f>
        <v>Sambath Phanny</v>
      </c>
      <c r="D466" s="1" t="s">
        <v>99</v>
      </c>
      <c r="E466" s="1" t="str">
        <f>_xlfn.IFNA(VLOOKUP(Apps[[#This Row],[PostID]],Posts[[PostID]:[Position]],2,0),"")</f>
        <v>Deputy Marketing Manager (event)</v>
      </c>
      <c r="F466" s="4">
        <v>45400</v>
      </c>
      <c r="G466" s="3" t="s">
        <v>2847</v>
      </c>
      <c r="H466" s="8" t="s">
        <v>3475</v>
      </c>
      <c r="K466" s="8" t="s">
        <v>3521</v>
      </c>
      <c r="M466" s="3"/>
    </row>
    <row r="467" spans="1:16" x14ac:dyDescent="0.3">
      <c r="A467" s="1" t="s">
        <v>3319</v>
      </c>
      <c r="B467" s="1" t="s">
        <v>2687</v>
      </c>
      <c r="C467" s="1" t="str">
        <f>VLOOKUP(Apps[[#This Row],[CandID]],Cands[[CandID]:[Cand_Name]],2,0)</f>
        <v>Sros Siminea</v>
      </c>
      <c r="D467" s="1" t="s">
        <v>105</v>
      </c>
      <c r="E467" s="1" t="str">
        <f>_xlfn.IFNA(VLOOKUP(Apps[[#This Row],[PostID]],Posts[[PostID]:[Position]],2,0),"")</f>
        <v>Deputy IT Manager</v>
      </c>
      <c r="F467" s="4">
        <v>45400</v>
      </c>
      <c r="G467" s="3" t="s">
        <v>2847</v>
      </c>
      <c r="M467" s="3"/>
    </row>
    <row r="468" spans="1:16" x14ac:dyDescent="0.3">
      <c r="A468" s="1" t="s">
        <v>3320</v>
      </c>
      <c r="B468" s="1" t="s">
        <v>2688</v>
      </c>
      <c r="C468" s="1" t="str">
        <f>VLOOKUP(Apps[[#This Row],[CandID]],Cands[[CandID]:[Cand_Name]],2,0)</f>
        <v>Thai Bon</v>
      </c>
      <c r="D468" s="1" t="s">
        <v>94</v>
      </c>
      <c r="E468" s="1" t="str">
        <f>_xlfn.IFNA(VLOOKUP(Apps[[#This Row],[PostID]],Posts[[PostID]:[Position]],2,0),"")</f>
        <v>Farm Manager</v>
      </c>
      <c r="F468" s="4">
        <v>45400</v>
      </c>
      <c r="G468" s="3" t="s">
        <v>2847</v>
      </c>
      <c r="M468" s="3"/>
    </row>
    <row r="469" spans="1:16" x14ac:dyDescent="0.3">
      <c r="A469" s="1" t="s">
        <v>3321</v>
      </c>
      <c r="B469" s="1" t="s">
        <v>2689</v>
      </c>
      <c r="C469" s="1" t="str">
        <f>VLOOKUP(Apps[[#This Row],[CandID]],Cands[[CandID]:[Cand_Name]],2,0)</f>
        <v>Va Soknea</v>
      </c>
      <c r="D469" s="1" t="s">
        <v>100</v>
      </c>
      <c r="E469" s="1" t="str">
        <f>_xlfn.IFNA(VLOOKUP(Apps[[#This Row],[PostID]],Posts[[PostID]:[Position]],2,0),"")</f>
        <v>Sales Director</v>
      </c>
      <c r="F469" s="4">
        <v>45400</v>
      </c>
      <c r="G469" s="3" t="s">
        <v>2847</v>
      </c>
      <c r="H469" s="8" t="s">
        <v>3477</v>
      </c>
      <c r="I469" s="4">
        <v>45405</v>
      </c>
      <c r="J469" s="4">
        <v>45412</v>
      </c>
      <c r="K469" s="8" t="s">
        <v>2852</v>
      </c>
      <c r="M469" s="3"/>
      <c r="O469" s="5">
        <v>300</v>
      </c>
      <c r="P469" s="5">
        <v>400</v>
      </c>
    </row>
    <row r="470" spans="1:16" x14ac:dyDescent="0.3">
      <c r="A470" s="1" t="s">
        <v>3322</v>
      </c>
      <c r="B470" s="1" t="s">
        <v>2690</v>
      </c>
      <c r="C470" s="1" t="str">
        <f>VLOOKUP(Apps[[#This Row],[CandID]],Cands[[CandID]:[Cand_Name]],2,0)</f>
        <v>You Sunleng</v>
      </c>
      <c r="D470" s="1" t="s">
        <v>99</v>
      </c>
      <c r="E470" s="1" t="str">
        <f>_xlfn.IFNA(VLOOKUP(Apps[[#This Row],[PostID]],Posts[[PostID]:[Position]],2,0),"")</f>
        <v>Deputy Marketing Manager (event)</v>
      </c>
      <c r="F470" s="4">
        <v>45402</v>
      </c>
      <c r="G470" s="3" t="s">
        <v>2847</v>
      </c>
      <c r="H470" s="8" t="s">
        <v>3475</v>
      </c>
      <c r="K470" s="8" t="s">
        <v>3521</v>
      </c>
      <c r="M470" s="3"/>
    </row>
    <row r="471" spans="1:16" x14ac:dyDescent="0.3">
      <c r="A471" s="1" t="s">
        <v>3323</v>
      </c>
      <c r="B471" s="1" t="s">
        <v>2691</v>
      </c>
      <c r="C471" s="1" t="str">
        <f>VLOOKUP(Apps[[#This Row],[CandID]],Cands[[CandID]:[Cand_Name]],2,0)</f>
        <v>Meas Vannarith</v>
      </c>
      <c r="D471" s="1" t="s">
        <v>1115</v>
      </c>
      <c r="E471" s="1" t="str">
        <f>_xlfn.IFNA(VLOOKUP(Apps[[#This Row],[PostID]],Posts[[PostID]:[Position]],2,0),"")</f>
        <v/>
      </c>
      <c r="F471" s="4">
        <v>45403</v>
      </c>
      <c r="G471" s="3" t="s">
        <v>2847</v>
      </c>
      <c r="H471" s="8" t="s">
        <v>3475</v>
      </c>
      <c r="K471" s="8" t="s">
        <v>3521</v>
      </c>
      <c r="M471" s="3"/>
    </row>
    <row r="472" spans="1:16" x14ac:dyDescent="0.3">
      <c r="A472" s="1" t="s">
        <v>3324</v>
      </c>
      <c r="B472" s="1" t="s">
        <v>2692</v>
      </c>
      <c r="C472" s="1" t="str">
        <f>VLOOKUP(Apps[[#This Row],[CandID]],Cands[[CandID]:[Cand_Name]],2,0)</f>
        <v>Rem Samral</v>
      </c>
      <c r="D472" s="1" t="s">
        <v>99</v>
      </c>
      <c r="E472" s="1" t="str">
        <f>_xlfn.IFNA(VLOOKUP(Apps[[#This Row],[PostID]],Posts[[PostID]:[Position]],2,0),"")</f>
        <v>Deputy Marketing Manager (event)</v>
      </c>
      <c r="F472" s="4">
        <v>45403</v>
      </c>
      <c r="G472" s="3" t="s">
        <v>2847</v>
      </c>
      <c r="H472" s="8" t="s">
        <v>3475</v>
      </c>
      <c r="K472" s="8" t="s">
        <v>3521</v>
      </c>
      <c r="M472" s="3"/>
    </row>
    <row r="473" spans="1:16" x14ac:dyDescent="0.3">
      <c r="A473" s="1" t="s">
        <v>3325</v>
      </c>
      <c r="B473" s="1" t="s">
        <v>2693</v>
      </c>
      <c r="C473" s="1" t="str">
        <f>VLOOKUP(Apps[[#This Row],[CandID]],Cands[[CandID]:[Cand_Name]],2,0)</f>
        <v>Tim Sochea</v>
      </c>
      <c r="D473" s="1" t="s">
        <v>99</v>
      </c>
      <c r="E473" s="1" t="str">
        <f>_xlfn.IFNA(VLOOKUP(Apps[[#This Row],[PostID]],Posts[[PostID]:[Position]],2,0),"")</f>
        <v>Deputy Marketing Manager (event)</v>
      </c>
      <c r="F473" s="4">
        <v>45403</v>
      </c>
      <c r="G473" s="3" t="s">
        <v>2847</v>
      </c>
      <c r="H473" s="8" t="s">
        <v>3475</v>
      </c>
      <c r="K473" s="8" t="s">
        <v>3521</v>
      </c>
      <c r="M473" s="3"/>
    </row>
    <row r="474" spans="1:16" x14ac:dyDescent="0.3">
      <c r="A474" s="1" t="s">
        <v>3326</v>
      </c>
      <c r="B474" s="1" t="s">
        <v>2694</v>
      </c>
      <c r="C474" s="1" t="str">
        <f>VLOOKUP(Apps[[#This Row],[CandID]],Cands[[CandID]:[Cand_Name]],2,0)</f>
        <v>Doung Rithy</v>
      </c>
      <c r="D474" s="1" t="s">
        <v>100</v>
      </c>
      <c r="E474" s="1" t="str">
        <f>_xlfn.IFNA(VLOOKUP(Apps[[#This Row],[PostID]],Posts[[PostID]:[Position]],2,0),"")</f>
        <v>Sales Director</v>
      </c>
      <c r="F474" s="4">
        <v>45404</v>
      </c>
      <c r="G474" s="3" t="s">
        <v>2847</v>
      </c>
      <c r="H474" s="8" t="s">
        <v>3475</v>
      </c>
      <c r="K474" s="8" t="s">
        <v>3521</v>
      </c>
      <c r="M474" s="3"/>
    </row>
    <row r="475" spans="1:16" x14ac:dyDescent="0.3">
      <c r="A475" s="1" t="s">
        <v>3327</v>
      </c>
      <c r="B475" s="1" t="s">
        <v>2695</v>
      </c>
      <c r="C475" s="1" t="str">
        <f>VLOOKUP(Apps[[#This Row],[CandID]],Cands[[CandID]:[Cand_Name]],2,0)</f>
        <v>Luy Lavy</v>
      </c>
      <c r="D475" s="1" t="s">
        <v>98</v>
      </c>
      <c r="E475" s="1" t="str">
        <f>_xlfn.IFNA(VLOOKUP(Apps[[#This Row],[PostID]],Posts[[PostID]:[Position]],2,0),"")</f>
        <v>Marketing Manager</v>
      </c>
      <c r="F475" s="4">
        <v>45404</v>
      </c>
      <c r="G475" s="3" t="s">
        <v>2847</v>
      </c>
      <c r="H475" s="8" t="s">
        <v>3475</v>
      </c>
      <c r="K475" s="8" t="s">
        <v>3521</v>
      </c>
      <c r="M475" s="3"/>
    </row>
    <row r="476" spans="1:16" x14ac:dyDescent="0.3">
      <c r="A476" s="1" t="s">
        <v>3328</v>
      </c>
      <c r="B476" s="1" t="s">
        <v>2696</v>
      </c>
      <c r="C476" s="1" t="str">
        <f>VLOOKUP(Apps[[#This Row],[CandID]],Cands[[CandID]:[Cand_Name]],2,0)</f>
        <v>Mot Bola</v>
      </c>
      <c r="D476" s="1" t="s">
        <v>94</v>
      </c>
      <c r="E476" s="1" t="str">
        <f>_xlfn.IFNA(VLOOKUP(Apps[[#This Row],[PostID]],Posts[[PostID]:[Position]],2,0),"")</f>
        <v>Farm Manager</v>
      </c>
      <c r="F476" s="4">
        <v>45404</v>
      </c>
      <c r="G476" s="3" t="s">
        <v>2847</v>
      </c>
      <c r="H476" s="8" t="s">
        <v>3477</v>
      </c>
      <c r="M476" s="3"/>
    </row>
    <row r="477" spans="1:16" x14ac:dyDescent="0.3">
      <c r="A477" s="1" t="s">
        <v>3329</v>
      </c>
      <c r="B477" s="1" t="s">
        <v>2697</v>
      </c>
      <c r="C477" s="1" t="str">
        <f>VLOOKUP(Apps[[#This Row],[CandID]],Cands[[CandID]:[Cand_Name]],2,0)</f>
        <v>Sieng Vireak</v>
      </c>
      <c r="D477" s="1" t="s">
        <v>98</v>
      </c>
      <c r="E477" s="1" t="str">
        <f>_xlfn.IFNA(VLOOKUP(Apps[[#This Row],[PostID]],Posts[[PostID]:[Position]],2,0),"")</f>
        <v>Marketing Manager</v>
      </c>
      <c r="F477" s="4">
        <v>45404</v>
      </c>
      <c r="G477" s="3" t="s">
        <v>2847</v>
      </c>
      <c r="H477" s="8" t="s">
        <v>3477</v>
      </c>
      <c r="I477" s="4">
        <v>45406</v>
      </c>
      <c r="M477" s="3"/>
    </row>
    <row r="478" spans="1:16" x14ac:dyDescent="0.3">
      <c r="A478" s="1" t="s">
        <v>3330</v>
      </c>
      <c r="B478" s="1" t="s">
        <v>2698</v>
      </c>
      <c r="C478" s="1" t="str">
        <f>VLOOKUP(Apps[[#This Row],[CandID]],Cands[[CandID]:[Cand_Name]],2,0)</f>
        <v>Chann Lyheng</v>
      </c>
      <c r="D478" s="1" t="s">
        <v>94</v>
      </c>
      <c r="E478" s="1" t="str">
        <f>_xlfn.IFNA(VLOOKUP(Apps[[#This Row],[PostID]],Posts[[PostID]:[Position]],2,0),"")</f>
        <v>Farm Manager</v>
      </c>
      <c r="F478" s="4">
        <v>45399</v>
      </c>
      <c r="G478" s="3" t="s">
        <v>3539</v>
      </c>
      <c r="H478" s="8" t="s">
        <v>3477</v>
      </c>
      <c r="M478" s="3"/>
    </row>
    <row r="479" spans="1:16" x14ac:dyDescent="0.3">
      <c r="A479" s="1" t="s">
        <v>3331</v>
      </c>
      <c r="B479" s="1" t="s">
        <v>2699</v>
      </c>
      <c r="C479" s="1" t="str">
        <f>VLOOKUP(Apps[[#This Row],[CandID]],Cands[[CandID]:[Cand_Name]],2,0)</f>
        <v>En Vireak</v>
      </c>
      <c r="D479" s="1" t="s">
        <v>99</v>
      </c>
      <c r="E479" s="1" t="str">
        <f>_xlfn.IFNA(VLOOKUP(Apps[[#This Row],[PostID]],Posts[[PostID]:[Position]],2,0),"")</f>
        <v>Deputy Marketing Manager (event)</v>
      </c>
      <c r="F479" s="4">
        <v>45400</v>
      </c>
      <c r="G479" s="3" t="s">
        <v>3539</v>
      </c>
      <c r="M479" s="3"/>
    </row>
    <row r="480" spans="1:16" x14ac:dyDescent="0.3">
      <c r="A480" s="1" t="s">
        <v>3332</v>
      </c>
      <c r="B480" s="1" t="s">
        <v>2700</v>
      </c>
      <c r="C480" s="1" t="str">
        <f>VLOOKUP(Apps[[#This Row],[CandID]],Cands[[CandID]:[Cand_Name]],2,0)</f>
        <v>Sin Thary</v>
      </c>
      <c r="D480" s="1" t="s">
        <v>98</v>
      </c>
      <c r="E480" s="1" t="str">
        <f>_xlfn.IFNA(VLOOKUP(Apps[[#This Row],[PostID]],Posts[[PostID]:[Position]],2,0),"")</f>
        <v>Marketing Manager</v>
      </c>
      <c r="F480" s="4">
        <v>45400</v>
      </c>
      <c r="G480" s="3" t="s">
        <v>3539</v>
      </c>
      <c r="M480" s="3"/>
    </row>
    <row r="481" spans="1:16" x14ac:dyDescent="0.3">
      <c r="A481" s="1" t="s">
        <v>3333</v>
      </c>
      <c r="B481" s="1" t="s">
        <v>2701</v>
      </c>
      <c r="C481" s="1" t="str">
        <f>VLOOKUP(Apps[[#This Row],[CandID]],Cands[[CandID]:[Cand_Name]],2,0)</f>
        <v>Sorn Darith</v>
      </c>
      <c r="D481" s="1" t="s">
        <v>105</v>
      </c>
      <c r="E481" s="1" t="str">
        <f>_xlfn.IFNA(VLOOKUP(Apps[[#This Row],[PostID]],Posts[[PostID]:[Position]],2,0),"")</f>
        <v>Deputy IT Manager</v>
      </c>
      <c r="F481" s="4">
        <v>45400</v>
      </c>
      <c r="G481" s="3" t="s">
        <v>3539</v>
      </c>
      <c r="H481" s="8" t="s">
        <v>3477</v>
      </c>
      <c r="M481" s="3"/>
    </row>
    <row r="482" spans="1:16" x14ac:dyDescent="0.3">
      <c r="A482" s="1" t="s">
        <v>3334</v>
      </c>
      <c r="B482" s="1" t="s">
        <v>2702</v>
      </c>
      <c r="C482" s="1" t="str">
        <f>VLOOKUP(Apps[[#This Row],[CandID]],Cands[[CandID]:[Cand_Name]],2,0)</f>
        <v>Nharak Sovann</v>
      </c>
      <c r="D482" s="1" t="s">
        <v>94</v>
      </c>
      <c r="E482" s="1" t="str">
        <f>_xlfn.IFNA(VLOOKUP(Apps[[#This Row],[PostID]],Posts[[PostID]:[Position]],2,0),"")</f>
        <v>Farm Manager</v>
      </c>
      <c r="F482" s="4">
        <v>45402</v>
      </c>
      <c r="G482" s="3" t="s">
        <v>3539</v>
      </c>
      <c r="M482" s="3"/>
    </row>
    <row r="483" spans="1:16" x14ac:dyDescent="0.3">
      <c r="A483" s="1" t="s">
        <v>3335</v>
      </c>
      <c r="B483" s="1" t="s">
        <v>2703</v>
      </c>
      <c r="C483" s="1" t="str">
        <f>VLOOKUP(Apps[[#This Row],[CandID]],Cands[[CandID]:[Cand_Name]],2,0)</f>
        <v>Pao Danou</v>
      </c>
      <c r="D483" s="1" t="s">
        <v>99</v>
      </c>
      <c r="E483" s="1" t="str">
        <f>_xlfn.IFNA(VLOOKUP(Apps[[#This Row],[PostID]],Posts[[PostID]:[Position]],2,0),"")</f>
        <v>Deputy Marketing Manager (event)</v>
      </c>
      <c r="F483" s="4">
        <v>45402</v>
      </c>
      <c r="G483" s="3" t="s">
        <v>3539</v>
      </c>
      <c r="M483" s="3"/>
    </row>
    <row r="484" spans="1:16" x14ac:dyDescent="0.3">
      <c r="A484" s="1" t="s">
        <v>3336</v>
      </c>
      <c r="B484" s="1" t="s">
        <v>2704</v>
      </c>
      <c r="C484" s="1" t="str">
        <f>VLOOKUP(Apps[[#This Row],[CandID]],Cands[[CandID]:[Cand_Name]],2,0)</f>
        <v>Pen Lychanbondith</v>
      </c>
      <c r="D484" s="1" t="s">
        <v>94</v>
      </c>
      <c r="E484" s="1" t="str">
        <f>_xlfn.IFNA(VLOOKUP(Apps[[#This Row],[PostID]],Posts[[PostID]:[Position]],2,0),"")</f>
        <v>Farm Manager</v>
      </c>
      <c r="F484" s="4">
        <v>45402</v>
      </c>
      <c r="G484" s="3" t="s">
        <v>3539</v>
      </c>
      <c r="M484" s="3"/>
    </row>
    <row r="485" spans="1:16" x14ac:dyDescent="0.3">
      <c r="A485" s="1" t="s">
        <v>3337</v>
      </c>
      <c r="B485" s="1" t="s">
        <v>2705</v>
      </c>
      <c r="C485" s="1" t="str">
        <f>VLOOKUP(Apps[[#This Row],[CandID]],Cands[[CandID]:[Cand_Name]],2,0)</f>
        <v>Khem Bunthai</v>
      </c>
      <c r="D485" s="1" t="s">
        <v>99</v>
      </c>
      <c r="E485" s="1" t="str">
        <f>_xlfn.IFNA(VLOOKUP(Apps[[#This Row],[PostID]],Posts[[PostID]:[Position]],2,0),"")</f>
        <v>Deputy Marketing Manager (event)</v>
      </c>
      <c r="F485" s="4">
        <v>45402</v>
      </c>
      <c r="G485" s="3" t="s">
        <v>3539</v>
      </c>
      <c r="M485" s="3"/>
    </row>
    <row r="486" spans="1:16" x14ac:dyDescent="0.3">
      <c r="A486" s="1" t="s">
        <v>3338</v>
      </c>
      <c r="B486" s="1" t="s">
        <v>2706</v>
      </c>
      <c r="C486" s="1" t="str">
        <f>VLOOKUP(Apps[[#This Row],[CandID]],Cands[[CandID]:[Cand_Name]],2,0)</f>
        <v>San Raysun</v>
      </c>
      <c r="D486" s="1" t="s">
        <v>98</v>
      </c>
      <c r="E486" s="1" t="str">
        <f>_xlfn.IFNA(VLOOKUP(Apps[[#This Row],[PostID]],Posts[[PostID]:[Position]],2,0),"")</f>
        <v>Marketing Manager</v>
      </c>
      <c r="F486" s="4">
        <v>45402</v>
      </c>
      <c r="G486" s="3" t="s">
        <v>3539</v>
      </c>
      <c r="M486" s="3"/>
    </row>
    <row r="487" spans="1:16" x14ac:dyDescent="0.3">
      <c r="A487" s="1" t="s">
        <v>3339</v>
      </c>
      <c r="B487" s="1" t="s">
        <v>2707</v>
      </c>
      <c r="C487" s="1" t="str">
        <f>VLOOKUP(Apps[[#This Row],[CandID]],Cands[[CandID]:[Cand_Name]],2,0)</f>
        <v>Sen Sreylek</v>
      </c>
      <c r="D487" s="1" t="s">
        <v>94</v>
      </c>
      <c r="E487" s="1" t="str">
        <f>_xlfn.IFNA(VLOOKUP(Apps[[#This Row],[PostID]],Posts[[PostID]:[Position]],2,0),"")</f>
        <v>Farm Manager</v>
      </c>
      <c r="F487" s="4">
        <v>45403</v>
      </c>
      <c r="G487" s="3" t="s">
        <v>3539</v>
      </c>
      <c r="H487" s="8" t="s">
        <v>3477</v>
      </c>
      <c r="M487" s="3"/>
    </row>
    <row r="488" spans="1:16" x14ac:dyDescent="0.3">
      <c r="A488" s="1" t="s">
        <v>3340</v>
      </c>
      <c r="B488" s="1" t="s">
        <v>2708</v>
      </c>
      <c r="C488" s="1" t="str">
        <f>VLOOKUP(Apps[[#This Row],[CandID]],Cands[[CandID]:[Cand_Name]],2,0)</f>
        <v>Say Kumpheak</v>
      </c>
      <c r="D488" s="1" t="s">
        <v>94</v>
      </c>
      <c r="E488" s="1" t="str">
        <f>_xlfn.IFNA(VLOOKUP(Apps[[#This Row],[PostID]],Posts[[PostID]:[Position]],2,0),"")</f>
        <v>Farm Manager</v>
      </c>
      <c r="F488" s="4">
        <v>45404</v>
      </c>
      <c r="G488" s="3" t="s">
        <v>3539</v>
      </c>
      <c r="H488" s="8" t="s">
        <v>3475</v>
      </c>
      <c r="K488" s="8" t="s">
        <v>3521</v>
      </c>
      <c r="M488" s="3"/>
    </row>
    <row r="489" spans="1:16" x14ac:dyDescent="0.3">
      <c r="A489" s="1" t="s">
        <v>3341</v>
      </c>
      <c r="B489" s="1" t="s">
        <v>2709</v>
      </c>
      <c r="C489" s="1" t="str">
        <f>VLOOKUP(Apps[[#This Row],[CandID]],Cands[[CandID]:[Cand_Name]],2,0)</f>
        <v>Kun Pheakkdey</v>
      </c>
      <c r="D489" s="1" t="s">
        <v>94</v>
      </c>
      <c r="E489" s="1" t="str">
        <f>_xlfn.IFNA(VLOOKUP(Apps[[#This Row],[PostID]],Posts[[PostID]:[Position]],2,0),"")</f>
        <v>Farm Manager</v>
      </c>
      <c r="F489" s="4">
        <v>45404</v>
      </c>
      <c r="G489" s="3" t="s">
        <v>3539</v>
      </c>
      <c r="M489" s="3"/>
    </row>
    <row r="490" spans="1:16" x14ac:dyDescent="0.3">
      <c r="A490" s="1" t="s">
        <v>3342</v>
      </c>
      <c r="B490" s="1" t="s">
        <v>2710</v>
      </c>
      <c r="C490" s="1" t="str">
        <f>VLOOKUP(Apps[[#This Row],[CandID]],Cands[[CandID]:[Cand_Name]],2,0)</f>
        <v>Srun Vantha</v>
      </c>
      <c r="D490" s="1" t="s">
        <v>100</v>
      </c>
      <c r="E490" s="1" t="str">
        <f>_xlfn.IFNA(VLOOKUP(Apps[[#This Row],[PostID]],Posts[[PostID]:[Position]],2,0),"")</f>
        <v>Sales Director</v>
      </c>
      <c r="F490" s="4">
        <v>45404</v>
      </c>
      <c r="G490" s="3" t="s">
        <v>3539</v>
      </c>
      <c r="H490" s="8" t="s">
        <v>3475</v>
      </c>
      <c r="K490" s="8" t="s">
        <v>3521</v>
      </c>
      <c r="M490" s="3"/>
    </row>
    <row r="491" spans="1:16" x14ac:dyDescent="0.3">
      <c r="A491" s="1" t="s">
        <v>3343</v>
      </c>
      <c r="B491" s="1" t="s">
        <v>2711</v>
      </c>
      <c r="C491" s="1" t="str">
        <f>VLOOKUP(Apps[[#This Row],[CandID]],Cands[[CandID]:[Cand_Name]],2,0)</f>
        <v>Yem Sophann</v>
      </c>
      <c r="D491" s="1" t="s">
        <v>94</v>
      </c>
      <c r="E491" s="1" t="str">
        <f>_xlfn.IFNA(VLOOKUP(Apps[[#This Row],[PostID]],Posts[[PostID]:[Position]],2,0),"")</f>
        <v>Farm Manager</v>
      </c>
      <c r="F491" s="4">
        <v>45404</v>
      </c>
      <c r="G491" s="3" t="s">
        <v>3539</v>
      </c>
      <c r="M491" s="3"/>
    </row>
    <row r="492" spans="1:16" x14ac:dyDescent="0.3">
      <c r="A492" s="1" t="s">
        <v>3344</v>
      </c>
      <c r="B492" s="1" t="s">
        <v>2712</v>
      </c>
      <c r="C492" s="1" t="str">
        <f>VLOOKUP(Apps[[#This Row],[CandID]],Cands[[CandID]:[Cand_Name]],2,0)</f>
        <v>Nhip Daet</v>
      </c>
      <c r="D492" s="1" t="s">
        <v>94</v>
      </c>
      <c r="E492" s="1" t="str">
        <f>_xlfn.IFNA(VLOOKUP(Apps[[#This Row],[PostID]],Posts[[PostID]:[Position]],2,0),"")</f>
        <v>Farm Manager</v>
      </c>
      <c r="F492" s="4">
        <v>45404</v>
      </c>
      <c r="G492" s="3" t="s">
        <v>2848</v>
      </c>
      <c r="H492" s="8" t="s">
        <v>3477</v>
      </c>
      <c r="I492" s="4">
        <v>45414</v>
      </c>
      <c r="M492" s="3"/>
    </row>
    <row r="493" spans="1:16" x14ac:dyDescent="0.3">
      <c r="A493" s="1" t="s">
        <v>3345</v>
      </c>
      <c r="B493" s="1" t="s">
        <v>2713</v>
      </c>
      <c r="C493" s="1" t="str">
        <f>VLOOKUP(Apps[[#This Row],[CandID]],Cands[[CandID]:[Cand_Name]],2,0)</f>
        <v>Seng Phearun</v>
      </c>
      <c r="D493" s="1" t="s">
        <v>100</v>
      </c>
      <c r="E493" s="1" t="str">
        <f>_xlfn.IFNA(VLOOKUP(Apps[[#This Row],[PostID]],Posts[[PostID]:[Position]],2,0),"")</f>
        <v>Sales Director</v>
      </c>
      <c r="F493" s="4">
        <v>45404</v>
      </c>
      <c r="G493" s="3" t="s">
        <v>2845</v>
      </c>
      <c r="H493" s="8" t="s">
        <v>3477</v>
      </c>
      <c r="I493" s="4">
        <v>45406</v>
      </c>
      <c r="M493" s="3"/>
      <c r="O493" s="5">
        <v>3000</v>
      </c>
      <c r="P493" s="5">
        <v>3000</v>
      </c>
    </row>
    <row r="494" spans="1:16" x14ac:dyDescent="0.3">
      <c r="A494" s="1" t="s">
        <v>3346</v>
      </c>
      <c r="B494" s="1" t="s">
        <v>2714</v>
      </c>
      <c r="C494" s="1" t="str">
        <f>VLOOKUP(Apps[[#This Row],[CandID]],Cands[[CandID]:[Cand_Name]],2,0)</f>
        <v>Tha Rity</v>
      </c>
      <c r="D494" s="1" t="s">
        <v>100</v>
      </c>
      <c r="E494" s="1" t="str">
        <f>_xlfn.IFNA(VLOOKUP(Apps[[#This Row],[PostID]],Posts[[PostID]:[Position]],2,0),"")</f>
        <v>Sales Director</v>
      </c>
      <c r="F494" s="4">
        <v>45404</v>
      </c>
      <c r="G494" s="3" t="s">
        <v>2848</v>
      </c>
      <c r="H494" s="8" t="s">
        <v>3477</v>
      </c>
      <c r="I494" s="4">
        <v>45405</v>
      </c>
      <c r="M494" s="3"/>
    </row>
    <row r="495" spans="1:16" x14ac:dyDescent="0.3">
      <c r="A495" s="1" t="s">
        <v>3347</v>
      </c>
      <c r="B495" s="1" t="s">
        <v>2715</v>
      </c>
      <c r="C495" s="1" t="str">
        <f>VLOOKUP(Apps[[#This Row],[CandID]],Cands[[CandID]:[Cand_Name]],2,0)</f>
        <v>Him Rasmey</v>
      </c>
      <c r="D495" s="1" t="s">
        <v>126</v>
      </c>
      <c r="E495" s="1" t="str">
        <f>_xlfn.IFNA(VLOOKUP(Apps[[#This Row],[PostID]],Posts[[PostID]:[Position]],2,0),"")</f>
        <v>Architect</v>
      </c>
      <c r="F495" s="4">
        <v>45405</v>
      </c>
      <c r="G495" s="3" t="s">
        <v>2845</v>
      </c>
      <c r="H495" s="8" t="s">
        <v>3477</v>
      </c>
      <c r="I495" s="4">
        <v>45407</v>
      </c>
      <c r="M495" s="3"/>
    </row>
    <row r="496" spans="1:16" x14ac:dyDescent="0.3">
      <c r="A496" s="1" t="s">
        <v>3348</v>
      </c>
      <c r="B496" s="1" t="s">
        <v>2716</v>
      </c>
      <c r="C496" s="1" t="str">
        <f>VLOOKUP(Apps[[#This Row],[CandID]],Cands[[CandID]:[Cand_Name]],2,0)</f>
        <v>Khoeun Chanrem</v>
      </c>
      <c r="D496" s="1" t="s">
        <v>100</v>
      </c>
      <c r="E496" s="1" t="str">
        <f>_xlfn.IFNA(VLOOKUP(Apps[[#This Row],[PostID]],Posts[[PostID]:[Position]],2,0),"")</f>
        <v>Sales Director</v>
      </c>
      <c r="F496" s="4">
        <v>45405</v>
      </c>
      <c r="G496" s="3" t="s">
        <v>2848</v>
      </c>
      <c r="M496" s="3"/>
    </row>
    <row r="497" spans="1:13" x14ac:dyDescent="0.3">
      <c r="A497" s="1" t="s">
        <v>3349</v>
      </c>
      <c r="B497" s="1" t="s">
        <v>2717</v>
      </c>
      <c r="C497" s="1" t="str">
        <f>VLOOKUP(Apps[[#This Row],[CandID]],Cands[[CandID]:[Cand_Name]],2,0)</f>
        <v>Kim Sothy</v>
      </c>
      <c r="D497" s="1" t="s">
        <v>126</v>
      </c>
      <c r="E497" s="1" t="str">
        <f>_xlfn.IFNA(VLOOKUP(Apps[[#This Row],[PostID]],Posts[[PostID]:[Position]],2,0),"")</f>
        <v>Architect</v>
      </c>
      <c r="F497" s="4">
        <v>45406</v>
      </c>
      <c r="G497" s="3" t="s">
        <v>2848</v>
      </c>
      <c r="H497" s="8" t="s">
        <v>3475</v>
      </c>
      <c r="K497" s="8" t="s">
        <v>3521</v>
      </c>
      <c r="M497" s="3"/>
    </row>
    <row r="498" spans="1:13" x14ac:dyDescent="0.3">
      <c r="A498" s="1" t="s">
        <v>3350</v>
      </c>
      <c r="B498" s="1" t="s">
        <v>2718</v>
      </c>
      <c r="C498" s="1" t="str">
        <f>VLOOKUP(Apps[[#This Row],[CandID]],Cands[[CandID]:[Cand_Name]],2,0)</f>
        <v>Phon Buntheng</v>
      </c>
      <c r="D498" s="1" t="s">
        <v>114</v>
      </c>
      <c r="E498" s="1" t="str">
        <f>_xlfn.IFNA(VLOOKUP(Apps[[#This Row],[PostID]],Posts[[PostID]:[Position]],2,0),"")</f>
        <v>Driver</v>
      </c>
      <c r="F498" s="4">
        <v>45406</v>
      </c>
      <c r="G498" s="3" t="s">
        <v>2848</v>
      </c>
      <c r="M498" s="3"/>
    </row>
    <row r="499" spans="1:13" x14ac:dyDescent="0.3">
      <c r="A499" s="1" t="s">
        <v>3351</v>
      </c>
      <c r="B499" s="1" t="s">
        <v>2719</v>
      </c>
      <c r="C499" s="1" t="str">
        <f>VLOOKUP(Apps[[#This Row],[CandID]],Cands[[CandID]:[Cand_Name]],2,0)</f>
        <v>Chhet Sophorn</v>
      </c>
      <c r="D499" s="1" t="s">
        <v>94</v>
      </c>
      <c r="E499" s="1" t="str">
        <f>_xlfn.IFNA(VLOOKUP(Apps[[#This Row],[PostID]],Posts[[PostID]:[Position]],2,0),"")</f>
        <v>Farm Manager</v>
      </c>
      <c r="F499" s="4">
        <v>45407</v>
      </c>
      <c r="G499" s="3" t="s">
        <v>2848</v>
      </c>
      <c r="M499" s="3"/>
    </row>
    <row r="500" spans="1:13" x14ac:dyDescent="0.3">
      <c r="A500" s="1" t="s">
        <v>3352</v>
      </c>
      <c r="B500" s="1" t="s">
        <v>2720</v>
      </c>
      <c r="C500" s="1" t="str">
        <f>VLOOKUP(Apps[[#This Row],[CandID]],Cands[[CandID]:[Cand_Name]],2,0)</f>
        <v>Yay Chanthearo</v>
      </c>
      <c r="D500" s="1" t="s">
        <v>114</v>
      </c>
      <c r="E500" s="1" t="str">
        <f>_xlfn.IFNA(VLOOKUP(Apps[[#This Row],[PostID]],Posts[[PostID]:[Position]],2,0),"")</f>
        <v>Driver</v>
      </c>
      <c r="F500" s="4">
        <v>45407</v>
      </c>
      <c r="G500" s="3" t="s">
        <v>2848</v>
      </c>
      <c r="M500" s="3"/>
    </row>
    <row r="501" spans="1:13" x14ac:dyDescent="0.3">
      <c r="A501" s="1" t="s">
        <v>3353</v>
      </c>
      <c r="B501" s="1" t="s">
        <v>2721</v>
      </c>
      <c r="C501" s="1" t="str">
        <f>VLOOKUP(Apps[[#This Row],[CandID]],Cands[[CandID]:[Cand_Name]],2,0)</f>
        <v>Pom Rathakun</v>
      </c>
      <c r="D501" s="1" t="s">
        <v>99</v>
      </c>
      <c r="E501" s="1" t="str">
        <f>_xlfn.IFNA(VLOOKUP(Apps[[#This Row],[PostID]],Posts[[PostID]:[Position]],2,0),"")</f>
        <v>Deputy Marketing Manager (event)</v>
      </c>
      <c r="F501" s="4">
        <v>45407</v>
      </c>
      <c r="G501" s="3" t="s">
        <v>2848</v>
      </c>
      <c r="H501" s="8" t="s">
        <v>3475</v>
      </c>
      <c r="K501" s="8" t="s">
        <v>3521</v>
      </c>
      <c r="M501" s="3"/>
    </row>
    <row r="502" spans="1:13" x14ac:dyDescent="0.3">
      <c r="A502" s="1" t="s">
        <v>3354</v>
      </c>
      <c r="B502" s="1" t="s">
        <v>2722</v>
      </c>
      <c r="C502" s="1" t="str">
        <f>VLOOKUP(Apps[[#This Row],[CandID]],Cands[[CandID]:[Cand_Name]],2,0)</f>
        <v>Say Pisey</v>
      </c>
      <c r="D502" s="1" t="s">
        <v>126</v>
      </c>
      <c r="E502" s="1" t="str">
        <f>_xlfn.IFNA(VLOOKUP(Apps[[#This Row],[PostID]],Posts[[PostID]:[Position]],2,0),"")</f>
        <v>Architect</v>
      </c>
      <c r="F502" s="4">
        <v>45404</v>
      </c>
      <c r="G502" s="3" t="s">
        <v>3539</v>
      </c>
      <c r="H502" s="8" t="s">
        <v>3475</v>
      </c>
      <c r="K502" s="8" t="s">
        <v>3521</v>
      </c>
      <c r="M502" s="3"/>
    </row>
    <row r="503" spans="1:13" x14ac:dyDescent="0.3">
      <c r="A503" s="1" t="s">
        <v>3355</v>
      </c>
      <c r="B503" s="1" t="s">
        <v>2723</v>
      </c>
      <c r="C503" s="1" t="str">
        <f>VLOOKUP(Apps[[#This Row],[CandID]],Cands[[CandID]:[Cand_Name]],2,0)</f>
        <v>Chhuor Kanhchakna</v>
      </c>
      <c r="D503" s="1" t="s">
        <v>98</v>
      </c>
      <c r="E503" s="1" t="str">
        <f>_xlfn.IFNA(VLOOKUP(Apps[[#This Row],[PostID]],Posts[[PostID]:[Position]],2,0),"")</f>
        <v>Marketing Manager</v>
      </c>
      <c r="F503" s="4">
        <v>45405</v>
      </c>
      <c r="G503" s="3" t="s">
        <v>3539</v>
      </c>
      <c r="M503" s="3"/>
    </row>
    <row r="504" spans="1:13" x14ac:dyDescent="0.3">
      <c r="A504" s="1" t="s">
        <v>3356</v>
      </c>
      <c r="B504" s="1" t="s">
        <v>2724</v>
      </c>
      <c r="C504" s="1" t="str">
        <f>VLOOKUP(Apps[[#This Row],[CandID]],Cands[[CandID]:[Cand_Name]],2,0)</f>
        <v>Ith Sihour</v>
      </c>
      <c r="D504" s="1" t="s">
        <v>99</v>
      </c>
      <c r="E504" s="1" t="str">
        <f>_xlfn.IFNA(VLOOKUP(Apps[[#This Row],[PostID]],Posts[[PostID]:[Position]],2,0),"")</f>
        <v>Deputy Marketing Manager (event)</v>
      </c>
      <c r="F504" s="4">
        <v>45405</v>
      </c>
      <c r="G504" s="3" t="s">
        <v>3539</v>
      </c>
      <c r="H504" s="8" t="s">
        <v>3475</v>
      </c>
      <c r="K504" s="8" t="s">
        <v>3521</v>
      </c>
      <c r="M504" s="3"/>
    </row>
    <row r="505" spans="1:13" x14ac:dyDescent="0.3">
      <c r="A505" s="1" t="s">
        <v>3357</v>
      </c>
      <c r="B505" s="1" t="s">
        <v>2725</v>
      </c>
      <c r="C505" s="1" t="str">
        <f>VLOOKUP(Apps[[#This Row],[CandID]],Cands[[CandID]:[Cand_Name]],2,0)</f>
        <v>Lang Chanlim</v>
      </c>
      <c r="D505" s="1" t="s">
        <v>94</v>
      </c>
      <c r="E505" s="1" t="str">
        <f>_xlfn.IFNA(VLOOKUP(Apps[[#This Row],[PostID]],Posts[[PostID]:[Position]],2,0),"")</f>
        <v>Farm Manager</v>
      </c>
      <c r="F505" s="4">
        <v>45405</v>
      </c>
      <c r="G505" s="3" t="s">
        <v>3539</v>
      </c>
      <c r="H505" s="8" t="s">
        <v>3475</v>
      </c>
      <c r="K505" s="8" t="s">
        <v>3521</v>
      </c>
      <c r="M505" s="3"/>
    </row>
    <row r="506" spans="1:13" x14ac:dyDescent="0.3">
      <c r="A506" s="1" t="s">
        <v>3358</v>
      </c>
      <c r="B506" s="1" t="s">
        <v>2726</v>
      </c>
      <c r="C506" s="1" t="str">
        <f>VLOOKUP(Apps[[#This Row],[CandID]],Cands[[CandID]:[Cand_Name]],2,0)</f>
        <v>Sim Kimheng</v>
      </c>
      <c r="D506" s="1" t="s">
        <v>126</v>
      </c>
      <c r="E506" s="1" t="str">
        <f>_xlfn.IFNA(VLOOKUP(Apps[[#This Row],[PostID]],Posts[[PostID]:[Position]],2,0),"")</f>
        <v>Architect</v>
      </c>
      <c r="F506" s="4">
        <v>45405</v>
      </c>
      <c r="G506" s="3" t="s">
        <v>3539</v>
      </c>
      <c r="H506" s="8" t="s">
        <v>3477</v>
      </c>
      <c r="M506" s="3"/>
    </row>
    <row r="507" spans="1:13" x14ac:dyDescent="0.3">
      <c r="A507" s="1" t="s">
        <v>3359</v>
      </c>
      <c r="B507" s="1" t="s">
        <v>2727</v>
      </c>
      <c r="C507" s="1" t="str">
        <f>VLOOKUP(Apps[[#This Row],[CandID]],Cands[[CandID]:[Cand_Name]],2,0)</f>
        <v>Pho Phearack</v>
      </c>
      <c r="D507" s="1" t="s">
        <v>98</v>
      </c>
      <c r="E507" s="1" t="str">
        <f>_xlfn.IFNA(VLOOKUP(Apps[[#This Row],[PostID]],Posts[[PostID]:[Position]],2,0),"")</f>
        <v>Marketing Manager</v>
      </c>
      <c r="F507" s="4">
        <v>45406</v>
      </c>
      <c r="G507" s="3" t="s">
        <v>3539</v>
      </c>
      <c r="M507" s="3"/>
    </row>
    <row r="508" spans="1:13" x14ac:dyDescent="0.3">
      <c r="A508" s="1" t="s">
        <v>3360</v>
      </c>
      <c r="B508" s="1" t="s">
        <v>2728</v>
      </c>
      <c r="C508" s="1" t="str">
        <f>VLOOKUP(Apps[[#This Row],[CandID]],Cands[[CandID]:[Cand_Name]],2,0)</f>
        <v>Khorn Sithon</v>
      </c>
      <c r="E508" s="1" t="str">
        <f>_xlfn.IFNA(VLOOKUP(Apps[[#This Row],[PostID]],Posts[[PostID]:[Position]],2,0),"")</f>
        <v/>
      </c>
      <c r="F508" s="4">
        <v>45404</v>
      </c>
      <c r="G508" s="3" t="s">
        <v>2847</v>
      </c>
      <c r="M508" s="3"/>
    </row>
    <row r="509" spans="1:13" x14ac:dyDescent="0.3">
      <c r="A509" s="1" t="s">
        <v>3361</v>
      </c>
      <c r="B509" s="1" t="s">
        <v>2729</v>
      </c>
      <c r="C509" s="1" t="str">
        <f>VLOOKUP(Apps[[#This Row],[CandID]],Cands[[CandID]:[Cand_Name]],2,0)</f>
        <v>Long Sokun</v>
      </c>
      <c r="D509" s="1" t="s">
        <v>94</v>
      </c>
      <c r="E509" s="1" t="str">
        <f>_xlfn.IFNA(VLOOKUP(Apps[[#This Row],[PostID]],Posts[[PostID]:[Position]],2,0),"")</f>
        <v>Farm Manager</v>
      </c>
      <c r="F509" s="4">
        <v>45404</v>
      </c>
      <c r="G509" s="3" t="s">
        <v>2847</v>
      </c>
      <c r="M509" s="3"/>
    </row>
    <row r="510" spans="1:13" x14ac:dyDescent="0.3">
      <c r="A510" s="1" t="s">
        <v>3362</v>
      </c>
      <c r="B510" s="1" t="s">
        <v>2730</v>
      </c>
      <c r="C510" s="1" t="str">
        <f>VLOOKUP(Apps[[#This Row],[CandID]],Cands[[CandID]:[Cand_Name]],2,0)</f>
        <v>Nov Kosal</v>
      </c>
      <c r="D510" s="1" t="s">
        <v>94</v>
      </c>
      <c r="E510" s="1" t="str">
        <f>_xlfn.IFNA(VLOOKUP(Apps[[#This Row],[PostID]],Posts[[PostID]:[Position]],2,0),"")</f>
        <v>Farm Manager</v>
      </c>
      <c r="F510" s="4">
        <v>45404</v>
      </c>
      <c r="G510" s="3" t="s">
        <v>2847</v>
      </c>
      <c r="H510" s="8" t="s">
        <v>3475</v>
      </c>
      <c r="K510" s="8" t="s">
        <v>3521</v>
      </c>
      <c r="M510" s="3"/>
    </row>
    <row r="511" spans="1:13" x14ac:dyDescent="0.3">
      <c r="A511" s="1" t="s">
        <v>3363</v>
      </c>
      <c r="B511" s="1" t="s">
        <v>2731</v>
      </c>
      <c r="C511" s="1" t="str">
        <f>VLOOKUP(Apps[[#This Row],[CandID]],Cands[[CandID]:[Cand_Name]],2,0)</f>
        <v>Krean Sochek</v>
      </c>
      <c r="D511" s="1" t="s">
        <v>94</v>
      </c>
      <c r="E511" s="1" t="str">
        <f>_xlfn.IFNA(VLOOKUP(Apps[[#This Row],[PostID]],Posts[[PostID]:[Position]],2,0),"")</f>
        <v>Farm Manager</v>
      </c>
      <c r="F511" s="4">
        <v>45404</v>
      </c>
      <c r="G511" s="3" t="s">
        <v>2847</v>
      </c>
      <c r="H511" s="8" t="s">
        <v>3477</v>
      </c>
      <c r="M511" s="3"/>
    </row>
    <row r="512" spans="1:13" x14ac:dyDescent="0.3">
      <c r="A512" s="1" t="s">
        <v>3364</v>
      </c>
      <c r="B512" s="1" t="s">
        <v>2732</v>
      </c>
      <c r="C512" s="1" t="str">
        <f>VLOOKUP(Apps[[#This Row],[CandID]],Cands[[CandID]:[Cand_Name]],2,0)</f>
        <v>Les Ry</v>
      </c>
      <c r="D512" s="1" t="s">
        <v>94</v>
      </c>
      <c r="E512" s="1" t="str">
        <f>_xlfn.IFNA(VLOOKUP(Apps[[#This Row],[PostID]],Posts[[PostID]:[Position]],2,0),"")</f>
        <v>Farm Manager</v>
      </c>
      <c r="F512" s="4">
        <v>45404</v>
      </c>
      <c r="G512" s="3" t="s">
        <v>2847</v>
      </c>
      <c r="H512" s="8" t="s">
        <v>3477</v>
      </c>
      <c r="I512" s="4">
        <v>45327</v>
      </c>
      <c r="M512" s="3"/>
    </row>
    <row r="513" spans="1:13" x14ac:dyDescent="0.3">
      <c r="A513" s="1" t="s">
        <v>3365</v>
      </c>
      <c r="B513" s="1" t="s">
        <v>2733</v>
      </c>
      <c r="C513" s="1" t="str">
        <f>VLOOKUP(Apps[[#This Row],[CandID]],Cands[[CandID]:[Cand_Name]],2,0)</f>
        <v>Meas Vannak</v>
      </c>
      <c r="D513" s="1" t="s">
        <v>94</v>
      </c>
      <c r="E513" s="1" t="str">
        <f>_xlfn.IFNA(VLOOKUP(Apps[[#This Row],[PostID]],Posts[[PostID]:[Position]],2,0),"")</f>
        <v>Farm Manager</v>
      </c>
      <c r="F513" s="4">
        <v>45405</v>
      </c>
      <c r="G513" s="3" t="s">
        <v>2847</v>
      </c>
      <c r="M513" s="3"/>
    </row>
    <row r="514" spans="1:13" x14ac:dyDescent="0.3">
      <c r="A514" s="1" t="s">
        <v>3366</v>
      </c>
      <c r="B514" s="1" t="s">
        <v>2734</v>
      </c>
      <c r="C514" s="1" t="str">
        <f>VLOOKUP(Apps[[#This Row],[CandID]],Cands[[CandID]:[Cand_Name]],2,0)</f>
        <v>Neav Hell</v>
      </c>
      <c r="D514" s="1" t="s">
        <v>94</v>
      </c>
      <c r="E514" s="1" t="str">
        <f>_xlfn.IFNA(VLOOKUP(Apps[[#This Row],[PostID]],Posts[[PostID]:[Position]],2,0),"")</f>
        <v>Farm Manager</v>
      </c>
      <c r="F514" s="4">
        <v>45405</v>
      </c>
      <c r="G514" s="3" t="s">
        <v>2847</v>
      </c>
      <c r="H514" s="8" t="s">
        <v>3475</v>
      </c>
      <c r="K514" s="8" t="s">
        <v>3521</v>
      </c>
      <c r="M514" s="3"/>
    </row>
    <row r="515" spans="1:13" x14ac:dyDescent="0.3">
      <c r="A515" s="1" t="s">
        <v>3367</v>
      </c>
      <c r="B515" s="1" t="s">
        <v>2735</v>
      </c>
      <c r="C515" s="1" t="str">
        <f>VLOOKUP(Apps[[#This Row],[CandID]],Cands[[CandID]:[Cand_Name]],2,0)</f>
        <v>Oum Proum</v>
      </c>
      <c r="D515" s="1" t="s">
        <v>99</v>
      </c>
      <c r="E515" s="1" t="str">
        <f>_xlfn.IFNA(VLOOKUP(Apps[[#This Row],[PostID]],Posts[[PostID]:[Position]],2,0),"")</f>
        <v>Deputy Marketing Manager (event)</v>
      </c>
      <c r="F515" s="4">
        <v>45405</v>
      </c>
      <c r="G515" s="3" t="s">
        <v>2847</v>
      </c>
      <c r="H515" s="8" t="s">
        <v>3477</v>
      </c>
      <c r="I515" s="4">
        <v>45415</v>
      </c>
      <c r="M515" s="3"/>
    </row>
    <row r="516" spans="1:13" x14ac:dyDescent="0.3">
      <c r="A516" s="1" t="s">
        <v>3368</v>
      </c>
      <c r="B516" s="1" t="s">
        <v>2736</v>
      </c>
      <c r="C516" s="1" t="str">
        <f>VLOOKUP(Apps[[#This Row],[CandID]],Cands[[CandID]:[Cand_Name]],2,0)</f>
        <v>Seng Thoeun</v>
      </c>
      <c r="D516" s="1" t="s">
        <v>94</v>
      </c>
      <c r="E516" s="1" t="str">
        <f>_xlfn.IFNA(VLOOKUP(Apps[[#This Row],[PostID]],Posts[[PostID]:[Position]],2,0),"")</f>
        <v>Farm Manager</v>
      </c>
      <c r="F516" s="4">
        <v>45405</v>
      </c>
      <c r="G516" s="3" t="s">
        <v>2847</v>
      </c>
      <c r="M516" s="3"/>
    </row>
    <row r="517" spans="1:13" x14ac:dyDescent="0.3">
      <c r="A517" s="1" t="s">
        <v>3369</v>
      </c>
      <c r="B517" s="1" t="s">
        <v>2737</v>
      </c>
      <c r="C517" s="1" t="str">
        <f>VLOOKUP(Apps[[#This Row],[CandID]],Cands[[CandID]:[Cand_Name]],2,0)</f>
        <v>Yin Kokcheng</v>
      </c>
      <c r="D517" s="1" t="s">
        <v>98</v>
      </c>
      <c r="E517" s="1" t="str">
        <f>_xlfn.IFNA(VLOOKUP(Apps[[#This Row],[PostID]],Posts[[PostID]:[Position]],2,0),"")</f>
        <v>Marketing Manager</v>
      </c>
      <c r="F517" s="4">
        <v>45405</v>
      </c>
      <c r="G517" s="3" t="s">
        <v>2847</v>
      </c>
      <c r="H517" s="8" t="s">
        <v>3477</v>
      </c>
      <c r="I517" s="4">
        <v>45406</v>
      </c>
      <c r="M517" s="3"/>
    </row>
    <row r="518" spans="1:13" x14ac:dyDescent="0.3">
      <c r="A518" s="1" t="s">
        <v>3370</v>
      </c>
      <c r="B518" s="1" t="s">
        <v>2738</v>
      </c>
      <c r="C518" s="1" t="str">
        <f>VLOOKUP(Apps[[#This Row],[CandID]],Cands[[CandID]:[Cand_Name]],2,0)</f>
        <v>Soem Bopha</v>
      </c>
      <c r="D518" s="1" t="s">
        <v>99</v>
      </c>
      <c r="E518" s="1" t="str">
        <f>_xlfn.IFNA(VLOOKUP(Apps[[#This Row],[PostID]],Posts[[PostID]:[Position]],2,0),"")</f>
        <v>Deputy Marketing Manager (event)</v>
      </c>
      <c r="F518" s="4">
        <v>45405</v>
      </c>
      <c r="G518" s="3" t="s">
        <v>2847</v>
      </c>
      <c r="H518" s="8" t="s">
        <v>3475</v>
      </c>
      <c r="K518" s="8" t="s">
        <v>3521</v>
      </c>
      <c r="M518" s="3"/>
    </row>
    <row r="519" spans="1:13" x14ac:dyDescent="0.3">
      <c r="A519" s="1" t="s">
        <v>3371</v>
      </c>
      <c r="B519" s="1" t="s">
        <v>2739</v>
      </c>
      <c r="C519" s="1" t="str">
        <f>VLOOKUP(Apps[[#This Row],[CandID]],Cands[[CandID]:[Cand_Name]],2,0)</f>
        <v>Chan Pherun</v>
      </c>
      <c r="D519" s="1" t="s">
        <v>94</v>
      </c>
      <c r="E519" s="1" t="str">
        <f>_xlfn.IFNA(VLOOKUP(Apps[[#This Row],[PostID]],Posts[[PostID]:[Position]],2,0),"")</f>
        <v>Farm Manager</v>
      </c>
      <c r="F519" s="4">
        <v>45406</v>
      </c>
      <c r="G519" s="3" t="s">
        <v>2847</v>
      </c>
      <c r="H519" s="8" t="s">
        <v>3475</v>
      </c>
      <c r="K519" s="8" t="s">
        <v>3521</v>
      </c>
      <c r="M519" s="3"/>
    </row>
    <row r="520" spans="1:13" x14ac:dyDescent="0.3">
      <c r="A520" s="1" t="s">
        <v>3372</v>
      </c>
      <c r="B520" s="1" t="s">
        <v>2740</v>
      </c>
      <c r="C520" s="1" t="str">
        <f>VLOOKUP(Apps[[#This Row],[CandID]],Cands[[CandID]:[Cand_Name]],2,0)</f>
        <v>Choun Sokha</v>
      </c>
      <c r="D520" s="1" t="s">
        <v>94</v>
      </c>
      <c r="E520" s="1" t="str">
        <f>_xlfn.IFNA(VLOOKUP(Apps[[#This Row],[PostID]],Posts[[PostID]:[Position]],2,0),"")</f>
        <v>Farm Manager</v>
      </c>
      <c r="F520" s="4">
        <v>45406</v>
      </c>
      <c r="G520" s="3" t="s">
        <v>2847</v>
      </c>
      <c r="M520" s="3"/>
    </row>
    <row r="521" spans="1:13" x14ac:dyDescent="0.3">
      <c r="A521" s="1" t="s">
        <v>3373</v>
      </c>
      <c r="B521" s="1" t="s">
        <v>2741</v>
      </c>
      <c r="C521" s="1" t="str">
        <f>VLOOKUP(Apps[[#This Row],[CandID]],Cands[[CandID]:[Cand_Name]],2,0)</f>
        <v>Him Serey</v>
      </c>
      <c r="D521" s="1" t="s">
        <v>94</v>
      </c>
      <c r="E521" s="1" t="str">
        <f>_xlfn.IFNA(VLOOKUP(Apps[[#This Row],[PostID]],Posts[[PostID]:[Position]],2,0),"")</f>
        <v>Farm Manager</v>
      </c>
      <c r="F521" s="4">
        <v>45406</v>
      </c>
      <c r="G521" s="3" t="s">
        <v>2847</v>
      </c>
      <c r="M521" s="3"/>
    </row>
    <row r="522" spans="1:13" x14ac:dyDescent="0.3">
      <c r="A522" s="1" t="s">
        <v>3374</v>
      </c>
      <c r="B522" s="1" t="s">
        <v>2742</v>
      </c>
      <c r="C522" s="1" t="str">
        <f>VLOOKUP(Apps[[#This Row],[CandID]],Cands[[CandID]:[Cand_Name]],2,0)</f>
        <v>Khuon Sopheak</v>
      </c>
      <c r="D522" s="1" t="s">
        <v>94</v>
      </c>
      <c r="E522" s="1" t="str">
        <f>_xlfn.IFNA(VLOOKUP(Apps[[#This Row],[PostID]],Posts[[PostID]:[Position]],2,0),"")</f>
        <v>Farm Manager</v>
      </c>
      <c r="F522" s="4">
        <v>45406</v>
      </c>
      <c r="G522" s="3" t="s">
        <v>2847</v>
      </c>
      <c r="M522" s="3"/>
    </row>
    <row r="523" spans="1:13" x14ac:dyDescent="0.3">
      <c r="A523" s="1" t="s">
        <v>3375</v>
      </c>
      <c r="B523" s="1" t="s">
        <v>2743</v>
      </c>
      <c r="C523" s="1" t="str">
        <f>VLOOKUP(Apps[[#This Row],[CandID]],Cands[[CandID]:[Cand_Name]],2,0)</f>
        <v>Long Veasna</v>
      </c>
      <c r="D523" s="1" t="s">
        <v>94</v>
      </c>
      <c r="E523" s="1" t="str">
        <f>_xlfn.IFNA(VLOOKUP(Apps[[#This Row],[PostID]],Posts[[PostID]:[Position]],2,0),"")</f>
        <v>Farm Manager</v>
      </c>
      <c r="F523" s="4">
        <v>45406</v>
      </c>
      <c r="G523" s="3" t="s">
        <v>2847</v>
      </c>
      <c r="H523" s="8" t="s">
        <v>3477</v>
      </c>
      <c r="M523" s="3"/>
    </row>
    <row r="524" spans="1:13" x14ac:dyDescent="0.3">
      <c r="A524" s="1" t="s">
        <v>3376</v>
      </c>
      <c r="B524" s="1" t="s">
        <v>2744</v>
      </c>
      <c r="C524" s="1" t="str">
        <f>VLOOKUP(Apps[[#This Row],[CandID]],Cands[[CandID]:[Cand_Name]],2,0)</f>
        <v>Neo Soknet</v>
      </c>
      <c r="D524" s="1" t="s">
        <v>94</v>
      </c>
      <c r="E524" s="1" t="str">
        <f>_xlfn.IFNA(VLOOKUP(Apps[[#This Row],[PostID]],Posts[[PostID]:[Position]],2,0),"")</f>
        <v>Farm Manager</v>
      </c>
      <c r="F524" s="4">
        <v>45406</v>
      </c>
      <c r="G524" s="3" t="s">
        <v>2847</v>
      </c>
      <c r="M524" s="3"/>
    </row>
    <row r="525" spans="1:13" x14ac:dyDescent="0.3">
      <c r="A525" s="1" t="s">
        <v>3377</v>
      </c>
      <c r="B525" s="1" t="s">
        <v>2745</v>
      </c>
      <c r="C525" s="1" t="str">
        <f>VLOOKUP(Apps[[#This Row],[CandID]],Cands[[CandID]:[Cand_Name]],2,0)</f>
        <v>Say Sopheap</v>
      </c>
      <c r="D525" s="1" t="s">
        <v>100</v>
      </c>
      <c r="E525" s="1" t="str">
        <f>_xlfn.IFNA(VLOOKUP(Apps[[#This Row],[PostID]],Posts[[PostID]:[Position]],2,0),"")</f>
        <v>Sales Director</v>
      </c>
      <c r="F525" s="4">
        <v>45406</v>
      </c>
      <c r="G525" s="3" t="s">
        <v>2847</v>
      </c>
      <c r="H525" s="8" t="s">
        <v>3475</v>
      </c>
      <c r="K525" s="8" t="s">
        <v>3521</v>
      </c>
      <c r="M525" s="3"/>
    </row>
    <row r="526" spans="1:13" x14ac:dyDescent="0.3">
      <c r="A526" s="1" t="s">
        <v>3378</v>
      </c>
      <c r="B526" s="1" t="s">
        <v>2746</v>
      </c>
      <c r="C526" s="1" t="str">
        <f>VLOOKUP(Apps[[#This Row],[CandID]],Cands[[CandID]:[Cand_Name]],2,0)</f>
        <v>So Sothea</v>
      </c>
      <c r="D526" s="1" t="s">
        <v>94</v>
      </c>
      <c r="E526" s="1" t="str">
        <f>_xlfn.IFNA(VLOOKUP(Apps[[#This Row],[PostID]],Posts[[PostID]:[Position]],2,0),"")</f>
        <v>Farm Manager</v>
      </c>
      <c r="F526" s="4">
        <v>45406</v>
      </c>
      <c r="G526" s="3" t="s">
        <v>2847</v>
      </c>
      <c r="H526" s="8" t="s">
        <v>3475</v>
      </c>
      <c r="K526" s="8" t="s">
        <v>3521</v>
      </c>
      <c r="M526" s="3"/>
    </row>
    <row r="527" spans="1:13" x14ac:dyDescent="0.3">
      <c r="A527" s="1" t="s">
        <v>3379</v>
      </c>
      <c r="B527" s="1" t="s">
        <v>2747</v>
      </c>
      <c r="C527" s="1" t="str">
        <f>VLOOKUP(Apps[[#This Row],[CandID]],Cands[[CandID]:[Cand_Name]],2,0)</f>
        <v>Sor Phamnith</v>
      </c>
      <c r="D527" s="1" t="s">
        <v>94</v>
      </c>
      <c r="E527" s="1" t="str">
        <f>_xlfn.IFNA(VLOOKUP(Apps[[#This Row],[PostID]],Posts[[PostID]:[Position]],2,0),"")</f>
        <v>Farm Manager</v>
      </c>
      <c r="F527" s="4">
        <v>45406</v>
      </c>
      <c r="G527" s="3" t="s">
        <v>2847</v>
      </c>
      <c r="M527" s="3"/>
    </row>
    <row r="528" spans="1:13" x14ac:dyDescent="0.3">
      <c r="A528" s="1" t="s">
        <v>3380</v>
      </c>
      <c r="B528" s="1" t="s">
        <v>2748</v>
      </c>
      <c r="C528" s="1" t="str">
        <f>VLOOKUP(Apps[[#This Row],[CandID]],Cands[[CandID]:[Cand_Name]],2,0)</f>
        <v>Sret Menghout</v>
      </c>
      <c r="D528" s="1" t="s">
        <v>94</v>
      </c>
      <c r="E528" s="1" t="str">
        <f>_xlfn.IFNA(VLOOKUP(Apps[[#This Row],[PostID]],Posts[[PostID]:[Position]],2,0),"")</f>
        <v>Farm Manager</v>
      </c>
      <c r="F528" s="4">
        <v>45406</v>
      </c>
      <c r="G528" s="3" t="s">
        <v>2847</v>
      </c>
      <c r="M528" s="3"/>
    </row>
    <row r="529" spans="1:13" x14ac:dyDescent="0.3">
      <c r="A529" s="1" t="s">
        <v>3381</v>
      </c>
      <c r="B529" s="1" t="s">
        <v>2749</v>
      </c>
      <c r="C529" s="1" t="str">
        <f>VLOOKUP(Apps[[#This Row],[CandID]],Cands[[CandID]:[Cand_Name]],2,0)</f>
        <v>Suon Sreyneth</v>
      </c>
      <c r="D529" s="1" t="s">
        <v>94</v>
      </c>
      <c r="E529" s="1" t="str">
        <f>_xlfn.IFNA(VLOOKUP(Apps[[#This Row],[PostID]],Posts[[PostID]:[Position]],2,0),"")</f>
        <v>Farm Manager</v>
      </c>
      <c r="F529" s="4">
        <v>45406</v>
      </c>
      <c r="G529" s="3" t="s">
        <v>2847</v>
      </c>
      <c r="H529" s="8" t="s">
        <v>3475</v>
      </c>
      <c r="K529" s="8" t="s">
        <v>3521</v>
      </c>
      <c r="M529" s="3"/>
    </row>
    <row r="530" spans="1:13" x14ac:dyDescent="0.3">
      <c r="A530" s="1" t="s">
        <v>3382</v>
      </c>
      <c r="B530" s="1" t="s">
        <v>2750</v>
      </c>
      <c r="C530" s="1" t="str">
        <f>VLOOKUP(Apps[[#This Row],[CandID]],Cands[[CandID]:[Cand_Name]],2,0)</f>
        <v>Tiev Sokleng</v>
      </c>
      <c r="D530" s="1" t="s">
        <v>94</v>
      </c>
      <c r="E530" s="1" t="str">
        <f>_xlfn.IFNA(VLOOKUP(Apps[[#This Row],[PostID]],Posts[[PostID]:[Position]],2,0),"")</f>
        <v>Farm Manager</v>
      </c>
      <c r="F530" s="4">
        <v>45406</v>
      </c>
      <c r="G530" s="3" t="s">
        <v>2847</v>
      </c>
      <c r="H530" s="8" t="s">
        <v>3475</v>
      </c>
      <c r="K530" s="8" t="s">
        <v>3521</v>
      </c>
      <c r="M530" s="3"/>
    </row>
    <row r="531" spans="1:13" x14ac:dyDescent="0.3">
      <c r="A531" s="1" t="s">
        <v>3383</v>
      </c>
      <c r="B531" s="1" t="s">
        <v>2751</v>
      </c>
      <c r="C531" s="1" t="str">
        <f>VLOOKUP(Apps[[#This Row],[CandID]],Cands[[CandID]:[Cand_Name]],2,0)</f>
        <v>Uon Johnbora</v>
      </c>
      <c r="D531" s="1" t="s">
        <v>94</v>
      </c>
      <c r="E531" s="1" t="str">
        <f>_xlfn.IFNA(VLOOKUP(Apps[[#This Row],[PostID]],Posts[[PostID]:[Position]],2,0),"")</f>
        <v>Farm Manager</v>
      </c>
      <c r="F531" s="4">
        <v>45406</v>
      </c>
      <c r="G531" s="3" t="s">
        <v>2847</v>
      </c>
      <c r="H531" s="8" t="s">
        <v>3475</v>
      </c>
      <c r="K531" s="8" t="s">
        <v>3521</v>
      </c>
      <c r="M531" s="3"/>
    </row>
    <row r="532" spans="1:13" x14ac:dyDescent="0.3">
      <c r="A532" s="1" t="s">
        <v>3384</v>
      </c>
      <c r="B532" s="1" t="s">
        <v>2752</v>
      </c>
      <c r="C532" s="1" t="str">
        <f>VLOOKUP(Apps[[#This Row],[CandID]],Cands[[CandID]:[Cand_Name]],2,0)</f>
        <v>Sokhom Daroth</v>
      </c>
      <c r="D532" s="1" t="s">
        <v>126</v>
      </c>
      <c r="E532" s="1" t="str">
        <f>_xlfn.IFNA(VLOOKUP(Apps[[#This Row],[PostID]],Posts[[PostID]:[Position]],2,0),"")</f>
        <v>Architect</v>
      </c>
      <c r="F532" s="4">
        <v>45406</v>
      </c>
      <c r="G532" s="3" t="s">
        <v>2847</v>
      </c>
      <c r="M532" s="3"/>
    </row>
    <row r="533" spans="1:13" x14ac:dyDescent="0.3">
      <c r="A533" s="1" t="s">
        <v>3385</v>
      </c>
      <c r="B533" s="1" t="s">
        <v>2753</v>
      </c>
      <c r="C533" s="1" t="str">
        <f>VLOOKUP(Apps[[#This Row],[CandID]],Cands[[CandID]:[Cand_Name]],2,0)</f>
        <v>Chan Raksmey</v>
      </c>
      <c r="D533" s="1" t="s">
        <v>100</v>
      </c>
      <c r="E533" s="1" t="str">
        <f>_xlfn.IFNA(VLOOKUP(Apps[[#This Row],[PostID]],Posts[[PostID]:[Position]],2,0),"")</f>
        <v>Sales Director</v>
      </c>
      <c r="F533" s="4">
        <v>45407</v>
      </c>
      <c r="G533" s="3" t="s">
        <v>2847</v>
      </c>
      <c r="M533" s="3"/>
    </row>
    <row r="534" spans="1:13" x14ac:dyDescent="0.3">
      <c r="A534" s="1" t="s">
        <v>3386</v>
      </c>
      <c r="B534" s="1" t="s">
        <v>2754</v>
      </c>
      <c r="C534" s="1" t="str">
        <f>VLOOKUP(Apps[[#This Row],[CandID]],Cands[[CandID]:[Cand_Name]],2,0)</f>
        <v>Chhet Sophorn</v>
      </c>
      <c r="D534" s="1" t="s">
        <v>94</v>
      </c>
      <c r="E534" s="1" t="str">
        <f>_xlfn.IFNA(VLOOKUP(Apps[[#This Row],[PostID]],Posts[[PostID]:[Position]],2,0),"")</f>
        <v>Farm Manager</v>
      </c>
      <c r="F534" s="4">
        <v>45407</v>
      </c>
      <c r="G534" s="3" t="s">
        <v>2847</v>
      </c>
      <c r="M534" s="3"/>
    </row>
    <row r="535" spans="1:13" x14ac:dyDescent="0.3">
      <c r="A535" s="1" t="s">
        <v>3387</v>
      </c>
      <c r="B535" s="1" t="s">
        <v>2755</v>
      </c>
      <c r="C535" s="1" t="str">
        <f>VLOOKUP(Apps[[#This Row],[CandID]],Cands[[CandID]:[Cand_Name]],2,0)</f>
        <v>Thlang Rathy</v>
      </c>
      <c r="D535" s="1" t="s">
        <v>94</v>
      </c>
      <c r="E535" s="1" t="str">
        <f>_xlfn.IFNA(VLOOKUP(Apps[[#This Row],[PostID]],Posts[[PostID]:[Position]],2,0),"")</f>
        <v>Farm Manager</v>
      </c>
      <c r="F535" s="4">
        <v>45407</v>
      </c>
      <c r="G535" s="3" t="s">
        <v>2847</v>
      </c>
      <c r="M535" s="3"/>
    </row>
    <row r="536" spans="1:13" x14ac:dyDescent="0.3">
      <c r="A536" s="1" t="s">
        <v>3388</v>
      </c>
      <c r="B536" s="1" t="s">
        <v>2756</v>
      </c>
      <c r="C536" s="1" t="str">
        <f>VLOOKUP(Apps[[#This Row],[CandID]],Cands[[CandID]:[Cand_Name]],2,0)</f>
        <v>Leang Kimlonn</v>
      </c>
      <c r="D536" s="1" t="s">
        <v>94</v>
      </c>
      <c r="E536" s="1" t="str">
        <f>_xlfn.IFNA(VLOOKUP(Apps[[#This Row],[PostID]],Posts[[PostID]:[Position]],2,0),"")</f>
        <v>Farm Manager</v>
      </c>
      <c r="F536" s="4">
        <v>45407</v>
      </c>
      <c r="G536" s="3" t="s">
        <v>2847</v>
      </c>
      <c r="H536" s="8" t="s">
        <v>3475</v>
      </c>
      <c r="K536" s="8" t="s">
        <v>3521</v>
      </c>
      <c r="M536" s="3"/>
    </row>
    <row r="537" spans="1:13" x14ac:dyDescent="0.3">
      <c r="A537" s="1" t="s">
        <v>3389</v>
      </c>
      <c r="B537" s="1" t="s">
        <v>2757</v>
      </c>
      <c r="C537" s="1" t="str">
        <f>VLOOKUP(Apps[[#This Row],[CandID]],Cands[[CandID]:[Cand_Name]],2,0)</f>
        <v>Romdoul Sovan</v>
      </c>
      <c r="D537" s="1" t="s">
        <v>99</v>
      </c>
      <c r="E537" s="1" t="str">
        <f>_xlfn.IFNA(VLOOKUP(Apps[[#This Row],[PostID]],Posts[[PostID]:[Position]],2,0),"")</f>
        <v>Deputy Marketing Manager (event)</v>
      </c>
      <c r="F537" s="4">
        <v>45407</v>
      </c>
      <c r="G537" s="3" t="s">
        <v>2847</v>
      </c>
      <c r="M537" s="3"/>
    </row>
    <row r="538" spans="1:13" x14ac:dyDescent="0.3">
      <c r="A538" s="1" t="s">
        <v>3390</v>
      </c>
      <c r="B538" s="1" t="s">
        <v>2758</v>
      </c>
      <c r="C538" s="1" t="str">
        <f>VLOOKUP(Apps[[#This Row],[CandID]],Cands[[CandID]:[Cand_Name]],2,0)</f>
        <v>Som Ratana</v>
      </c>
      <c r="D538" s="1" t="s">
        <v>94</v>
      </c>
      <c r="E538" s="1" t="str">
        <f>_xlfn.IFNA(VLOOKUP(Apps[[#This Row],[PostID]],Posts[[PostID]:[Position]],2,0),"")</f>
        <v>Farm Manager</v>
      </c>
      <c r="F538" s="4">
        <v>45407</v>
      </c>
      <c r="G538" s="3" t="s">
        <v>2847</v>
      </c>
      <c r="M538" s="3"/>
    </row>
    <row r="539" spans="1:13" x14ac:dyDescent="0.3">
      <c r="A539" s="1" t="s">
        <v>3391</v>
      </c>
      <c r="B539" s="1" t="s">
        <v>2759</v>
      </c>
      <c r="C539" s="1" t="str">
        <f>VLOOKUP(Apps[[#This Row],[CandID]],Cands[[CandID]:[Cand_Name]],2,0)</f>
        <v>Thorn Sreyneth</v>
      </c>
      <c r="D539" s="1" t="s">
        <v>100</v>
      </c>
      <c r="E539" s="1" t="str">
        <f>_xlfn.IFNA(VLOOKUP(Apps[[#This Row],[PostID]],Posts[[PostID]:[Position]],2,0),"")</f>
        <v>Sales Director</v>
      </c>
      <c r="F539" s="4">
        <v>45407</v>
      </c>
      <c r="G539" s="3" t="s">
        <v>2848</v>
      </c>
      <c r="M539" s="3"/>
    </row>
    <row r="540" spans="1:13" x14ac:dyDescent="0.3">
      <c r="A540" s="1" t="s">
        <v>3392</v>
      </c>
      <c r="B540" s="1" t="s">
        <v>2760</v>
      </c>
      <c r="C540" s="1" t="str">
        <f>VLOOKUP(Apps[[#This Row],[CandID]],Cands[[CandID]:[Cand_Name]],2,0)</f>
        <v>El Roisat</v>
      </c>
      <c r="D540" s="1" t="s">
        <v>99</v>
      </c>
      <c r="E540" s="1" t="str">
        <f>_xlfn.IFNA(VLOOKUP(Apps[[#This Row],[PostID]],Posts[[PostID]:[Position]],2,0),"")</f>
        <v>Deputy Marketing Manager (event)</v>
      </c>
      <c r="F540" s="4">
        <v>45405</v>
      </c>
      <c r="G540" s="3" t="s">
        <v>2847</v>
      </c>
      <c r="M540" s="3"/>
    </row>
    <row r="541" spans="1:13" x14ac:dyDescent="0.3">
      <c r="A541" s="1" t="s">
        <v>3393</v>
      </c>
      <c r="B541" s="1" t="s">
        <v>2761</v>
      </c>
      <c r="C541" s="1" t="str">
        <f>VLOOKUP(Apps[[#This Row],[CandID]],Cands[[CandID]:[Cand_Name]],2,0)</f>
        <v>Khet Khon</v>
      </c>
      <c r="D541" s="1" t="s">
        <v>94</v>
      </c>
      <c r="E541" s="1" t="str">
        <f>_xlfn.IFNA(VLOOKUP(Apps[[#This Row],[PostID]],Posts[[PostID]:[Position]],2,0),"")</f>
        <v>Farm Manager</v>
      </c>
      <c r="F541" s="4">
        <v>45405</v>
      </c>
      <c r="G541" s="3" t="s">
        <v>2847</v>
      </c>
      <c r="M541" s="3"/>
    </row>
    <row r="542" spans="1:13" x14ac:dyDescent="0.3">
      <c r="A542" s="1" t="s">
        <v>3394</v>
      </c>
      <c r="B542" s="1" t="s">
        <v>2762</v>
      </c>
      <c r="C542" s="1" t="str">
        <f>VLOOKUP(Apps[[#This Row],[CandID]],Cands[[CandID]:[Cand_Name]],2,0)</f>
        <v>Vannak Vannareth</v>
      </c>
      <c r="D542" s="1" t="s">
        <v>94</v>
      </c>
      <c r="E542" s="1" t="str">
        <f>_xlfn.IFNA(VLOOKUP(Apps[[#This Row],[PostID]],Posts[[PostID]:[Position]],2,0),"")</f>
        <v>Farm Manager</v>
      </c>
      <c r="F542" s="4">
        <v>45405</v>
      </c>
      <c r="G542" s="3" t="s">
        <v>2847</v>
      </c>
      <c r="M542" s="3"/>
    </row>
    <row r="543" spans="1:13" x14ac:dyDescent="0.3">
      <c r="A543" s="1" t="s">
        <v>3395</v>
      </c>
      <c r="B543" s="1" t="s">
        <v>2763</v>
      </c>
      <c r="C543" s="1" t="str">
        <f>VLOOKUP(Apps[[#This Row],[CandID]],Cands[[CandID]:[Cand_Name]],2,0)</f>
        <v>Keo Raksmey</v>
      </c>
      <c r="D543" s="1" t="s">
        <v>99</v>
      </c>
      <c r="E543" s="1" t="str">
        <f>_xlfn.IFNA(VLOOKUP(Apps[[#This Row],[PostID]],Posts[[PostID]:[Position]],2,0),"")</f>
        <v>Deputy Marketing Manager (event)</v>
      </c>
      <c r="F543" s="4">
        <v>45407</v>
      </c>
      <c r="G543" s="3" t="s">
        <v>2847</v>
      </c>
      <c r="H543" s="8" t="s">
        <v>3477</v>
      </c>
      <c r="M543" s="3"/>
    </row>
    <row r="544" spans="1:13" x14ac:dyDescent="0.3">
      <c r="A544" s="1" t="s">
        <v>3396</v>
      </c>
      <c r="B544" s="1" t="s">
        <v>2764</v>
      </c>
      <c r="C544" s="1" t="str">
        <f>VLOOKUP(Apps[[#This Row],[CandID]],Cands[[CandID]:[Cand_Name]],2,0)</f>
        <v>Mao Phanara</v>
      </c>
      <c r="D544" s="1" t="s">
        <v>94</v>
      </c>
      <c r="E544" s="1" t="str">
        <f>_xlfn.IFNA(VLOOKUP(Apps[[#This Row],[PostID]],Posts[[PostID]:[Position]],2,0),"")</f>
        <v>Farm Manager</v>
      </c>
      <c r="F544" s="4">
        <v>45407</v>
      </c>
      <c r="G544" s="3" t="s">
        <v>2847</v>
      </c>
      <c r="H544" s="8" t="s">
        <v>3475</v>
      </c>
      <c r="K544" s="8" t="s">
        <v>3521</v>
      </c>
      <c r="M544" s="3"/>
    </row>
    <row r="545" spans="1:13" x14ac:dyDescent="0.3">
      <c r="A545" s="1" t="s">
        <v>3397</v>
      </c>
      <c r="B545" s="1" t="s">
        <v>2765</v>
      </c>
      <c r="C545" s="1" t="str">
        <f>VLOOKUP(Apps[[#This Row],[CandID]],Cands[[CandID]:[Cand_Name]],2,0)</f>
        <v>But Eavleang</v>
      </c>
      <c r="D545" s="1" t="s">
        <v>100</v>
      </c>
      <c r="E545" s="1" t="str">
        <f>_xlfn.IFNA(VLOOKUP(Apps[[#This Row],[PostID]],Posts[[PostID]:[Position]],2,0),"")</f>
        <v>Sales Director</v>
      </c>
      <c r="F545" s="4">
        <v>45407</v>
      </c>
      <c r="G545" s="3" t="s">
        <v>2847</v>
      </c>
      <c r="H545" s="8" t="s">
        <v>3475</v>
      </c>
      <c r="K545" s="8" t="s">
        <v>3521</v>
      </c>
      <c r="M545" s="3"/>
    </row>
    <row r="546" spans="1:13" x14ac:dyDescent="0.3">
      <c r="A546" s="1" t="s">
        <v>3398</v>
      </c>
      <c r="B546" s="1" t="s">
        <v>2766</v>
      </c>
      <c r="C546" s="1" t="str">
        <f>VLOOKUP(Apps[[#This Row],[CandID]],Cands[[CandID]:[Cand_Name]],2,0)</f>
        <v>Proet Hoeurm</v>
      </c>
      <c r="D546" s="1" t="s">
        <v>94</v>
      </c>
      <c r="E546" s="1" t="str">
        <f>_xlfn.IFNA(VLOOKUP(Apps[[#This Row],[PostID]],Posts[[PostID]:[Position]],2,0),"")</f>
        <v>Farm Manager</v>
      </c>
      <c r="F546" s="4">
        <v>45407</v>
      </c>
      <c r="G546" s="3" t="s">
        <v>2847</v>
      </c>
      <c r="M546" s="3"/>
    </row>
    <row r="547" spans="1:13" x14ac:dyDescent="0.3">
      <c r="A547" s="1" t="s">
        <v>3399</v>
      </c>
      <c r="B547" s="1" t="s">
        <v>2767</v>
      </c>
      <c r="C547" s="1" t="str">
        <f>VLOOKUP(Apps[[#This Row],[CandID]],Cands[[CandID]:[Cand_Name]],2,0)</f>
        <v>Samoerun Sambath</v>
      </c>
      <c r="D547" s="1" t="s">
        <v>99</v>
      </c>
      <c r="E547" s="1" t="str">
        <f>_xlfn.IFNA(VLOOKUP(Apps[[#This Row],[PostID]],Posts[[PostID]:[Position]],2,0),"")</f>
        <v>Deputy Marketing Manager (event)</v>
      </c>
      <c r="F547" s="4">
        <v>45407</v>
      </c>
      <c r="G547" s="3" t="s">
        <v>2847</v>
      </c>
      <c r="M547" s="3"/>
    </row>
    <row r="548" spans="1:13" x14ac:dyDescent="0.3">
      <c r="A548" s="1" t="s">
        <v>3400</v>
      </c>
      <c r="B548" s="1" t="s">
        <v>2768</v>
      </c>
      <c r="C548" s="1" t="str">
        <f>VLOOKUP(Apps[[#This Row],[CandID]],Cands[[CandID]:[Cand_Name]],2,0)</f>
        <v>Hong Sotheary</v>
      </c>
      <c r="D548" s="1" t="s">
        <v>98</v>
      </c>
      <c r="E548" s="1" t="str">
        <f>_xlfn.IFNA(VLOOKUP(Apps[[#This Row],[PostID]],Posts[[PostID]:[Position]],2,0),"")</f>
        <v>Marketing Manager</v>
      </c>
      <c r="F548" s="4">
        <v>45407</v>
      </c>
      <c r="G548" s="3" t="s">
        <v>2847</v>
      </c>
      <c r="H548" s="8" t="s">
        <v>3475</v>
      </c>
      <c r="K548" s="8" t="s">
        <v>3521</v>
      </c>
      <c r="M548" s="3"/>
    </row>
    <row r="549" spans="1:13" x14ac:dyDescent="0.3">
      <c r="A549" s="1" t="s">
        <v>3401</v>
      </c>
      <c r="B549" s="1" t="s">
        <v>2769</v>
      </c>
      <c r="C549" s="1" t="str">
        <f>VLOOKUP(Apps[[#This Row],[CandID]],Cands[[CandID]:[Cand_Name]],2,0)</f>
        <v>So Heng</v>
      </c>
      <c r="D549" s="1" t="s">
        <v>119</v>
      </c>
      <c r="E549" s="1" t="str">
        <f>_xlfn.IFNA(VLOOKUP(Apps[[#This Row],[PostID]],Posts[[PostID]:[Position]],2,0),"")</f>
        <v>HRBP</v>
      </c>
      <c r="F549" s="4">
        <v>45407</v>
      </c>
      <c r="G549" s="3" t="s">
        <v>2847</v>
      </c>
      <c r="H549" s="8" t="s">
        <v>3475</v>
      </c>
      <c r="K549" s="8" t="s">
        <v>3521</v>
      </c>
      <c r="M549" s="3"/>
    </row>
    <row r="550" spans="1:13" x14ac:dyDescent="0.3">
      <c r="A550" s="1" t="s">
        <v>3402</v>
      </c>
      <c r="B550" s="1" t="s">
        <v>2770</v>
      </c>
      <c r="C550" s="1" t="str">
        <f>VLOOKUP(Apps[[#This Row],[CandID]],Cands[[CandID]:[Cand_Name]],2,0)</f>
        <v>Tiev Sokleng</v>
      </c>
      <c r="D550" s="1" t="s">
        <v>94</v>
      </c>
      <c r="E550" s="1" t="str">
        <f>_xlfn.IFNA(VLOOKUP(Apps[[#This Row],[PostID]],Posts[[PostID]:[Position]],2,0),"")</f>
        <v>Farm Manager</v>
      </c>
      <c r="F550" s="4">
        <v>45407</v>
      </c>
      <c r="G550" s="3" t="s">
        <v>2847</v>
      </c>
      <c r="H550" s="8" t="s">
        <v>3475</v>
      </c>
      <c r="K550" s="8" t="s">
        <v>3521</v>
      </c>
      <c r="M550" s="3"/>
    </row>
    <row r="551" spans="1:13" x14ac:dyDescent="0.3">
      <c r="A551" s="1" t="s">
        <v>3403</v>
      </c>
      <c r="B551" s="1" t="s">
        <v>2771</v>
      </c>
      <c r="C551" s="1" t="str">
        <f>VLOOKUP(Apps[[#This Row],[CandID]],Cands[[CandID]:[Cand_Name]],2,0)</f>
        <v>Vitae Saroeun</v>
      </c>
      <c r="D551" s="1" t="s">
        <v>94</v>
      </c>
      <c r="E551" s="1" t="str">
        <f>_xlfn.IFNA(VLOOKUP(Apps[[#This Row],[PostID]],Posts[[PostID]:[Position]],2,0),"")</f>
        <v>Farm Manager</v>
      </c>
      <c r="F551" s="4">
        <v>45407</v>
      </c>
      <c r="G551" s="3" t="s">
        <v>2847</v>
      </c>
      <c r="H551" s="8" t="s">
        <v>3475</v>
      </c>
      <c r="K551" s="8" t="s">
        <v>3521</v>
      </c>
      <c r="M551" s="3"/>
    </row>
    <row r="552" spans="1:13" x14ac:dyDescent="0.3">
      <c r="A552" s="1" t="s">
        <v>3404</v>
      </c>
      <c r="B552" s="1" t="s">
        <v>2772</v>
      </c>
      <c r="C552" s="1" t="str">
        <f>VLOOKUP(Apps[[#This Row],[CandID]],Cands[[CandID]:[Cand_Name]],2,0)</f>
        <v>Kheng Bunchhoeun</v>
      </c>
      <c r="D552" s="1" t="s">
        <v>99</v>
      </c>
      <c r="E552" s="1" t="str">
        <f>_xlfn.IFNA(VLOOKUP(Apps[[#This Row],[PostID]],Posts[[PostID]:[Position]],2,0),"")</f>
        <v>Deputy Marketing Manager (event)</v>
      </c>
      <c r="F552" s="4">
        <v>45408</v>
      </c>
      <c r="G552" s="3" t="s">
        <v>2847</v>
      </c>
      <c r="H552" s="8" t="s">
        <v>3475</v>
      </c>
      <c r="K552" s="8" t="s">
        <v>3521</v>
      </c>
      <c r="M552" s="3"/>
    </row>
    <row r="553" spans="1:13" x14ac:dyDescent="0.3">
      <c r="A553" s="1" t="s">
        <v>3405</v>
      </c>
      <c r="B553" s="1" t="s">
        <v>2773</v>
      </c>
      <c r="C553" s="1" t="str">
        <f>VLOOKUP(Apps[[#This Row],[CandID]],Cands[[CandID]:[Cand_Name]],2,0)</f>
        <v>Nharak Sovann</v>
      </c>
      <c r="D553" s="1" t="s">
        <v>100</v>
      </c>
      <c r="E553" s="1" t="str">
        <f>_xlfn.IFNA(VLOOKUP(Apps[[#This Row],[PostID]],Posts[[PostID]:[Position]],2,0),"")</f>
        <v>Sales Director</v>
      </c>
      <c r="F553" s="4">
        <v>45409</v>
      </c>
      <c r="G553" s="3" t="s">
        <v>2847</v>
      </c>
      <c r="M553" s="3"/>
    </row>
    <row r="554" spans="1:13" x14ac:dyDescent="0.3">
      <c r="A554" s="1" t="s">
        <v>3406</v>
      </c>
      <c r="B554" s="1" t="s">
        <v>2774</v>
      </c>
      <c r="C554" s="1" t="str">
        <f>VLOOKUP(Apps[[#This Row],[CandID]],Cands[[CandID]:[Cand_Name]],2,0)</f>
        <v>Khun Sokhang</v>
      </c>
      <c r="D554" s="1" t="s">
        <v>100</v>
      </c>
      <c r="E554" s="1" t="str">
        <f>_xlfn.IFNA(VLOOKUP(Apps[[#This Row],[PostID]],Posts[[PostID]:[Position]],2,0),"")</f>
        <v>Sales Director</v>
      </c>
      <c r="F554" s="4">
        <v>45408</v>
      </c>
      <c r="G554" s="3" t="s">
        <v>2847</v>
      </c>
      <c r="H554" s="8" t="s">
        <v>3475</v>
      </c>
      <c r="K554" s="8" t="s">
        <v>3521</v>
      </c>
      <c r="M554" s="3"/>
    </row>
    <row r="555" spans="1:13" x14ac:dyDescent="0.3">
      <c r="A555" s="1" t="s">
        <v>3407</v>
      </c>
      <c r="B555" s="1" t="s">
        <v>2775</v>
      </c>
      <c r="C555" s="1" t="str">
        <f>VLOOKUP(Apps[[#This Row],[CandID]],Cands[[CandID]:[Cand_Name]],2,0)</f>
        <v>Chun Brotib</v>
      </c>
      <c r="D555" s="1" t="s">
        <v>119</v>
      </c>
      <c r="E555" s="1" t="str">
        <f>_xlfn.IFNA(VLOOKUP(Apps[[#This Row],[PostID]],Posts[[PostID]:[Position]],2,0),"")</f>
        <v>HRBP</v>
      </c>
      <c r="F555" s="4">
        <v>45409</v>
      </c>
      <c r="G555" s="3" t="s">
        <v>2847</v>
      </c>
      <c r="M555" s="3"/>
    </row>
    <row r="556" spans="1:13" x14ac:dyDescent="0.3">
      <c r="A556" s="1" t="s">
        <v>3408</v>
      </c>
      <c r="B556" s="1" t="s">
        <v>2776</v>
      </c>
      <c r="C556" s="1" t="str">
        <f>VLOOKUP(Apps[[#This Row],[CandID]],Cands[[CandID]:[Cand_Name]],2,0)</f>
        <v>Chhun Maden</v>
      </c>
      <c r="D556" s="1" t="s">
        <v>119</v>
      </c>
      <c r="E556" s="1" t="str">
        <f>_xlfn.IFNA(VLOOKUP(Apps[[#This Row],[PostID]],Posts[[PostID]:[Position]],2,0),"")</f>
        <v>HRBP</v>
      </c>
      <c r="F556" s="4">
        <v>45409</v>
      </c>
      <c r="G556" s="3" t="s">
        <v>2847</v>
      </c>
      <c r="M556" s="3"/>
    </row>
    <row r="557" spans="1:13" x14ac:dyDescent="0.3">
      <c r="A557" s="1" t="s">
        <v>3409</v>
      </c>
      <c r="B557" s="1" t="s">
        <v>2777</v>
      </c>
      <c r="C557" s="1" t="str">
        <f>VLOOKUP(Apps[[#This Row],[CandID]],Cands[[CandID]:[Cand_Name]],2,0)</f>
        <v>Phorn Rasmey</v>
      </c>
      <c r="D557" s="1" t="s">
        <v>94</v>
      </c>
      <c r="E557" s="1" t="str">
        <f>_xlfn.IFNA(VLOOKUP(Apps[[#This Row],[PostID]],Posts[[PostID]:[Position]],2,0),"")</f>
        <v>Farm Manager</v>
      </c>
      <c r="F557" s="4">
        <v>45409</v>
      </c>
      <c r="G557" s="3" t="s">
        <v>2847</v>
      </c>
      <c r="H557" s="8" t="s">
        <v>3475</v>
      </c>
      <c r="K557" s="8" t="s">
        <v>3521</v>
      </c>
      <c r="M557" s="3"/>
    </row>
    <row r="558" spans="1:13" x14ac:dyDescent="0.3">
      <c r="A558" s="1" t="s">
        <v>3410</v>
      </c>
      <c r="B558" s="1" t="s">
        <v>2778</v>
      </c>
      <c r="C558" s="1" t="str">
        <f>VLOOKUP(Apps[[#This Row],[CandID]],Cands[[CandID]:[Cand_Name]],2,0)</f>
        <v>Bo Sombun</v>
      </c>
      <c r="D558" s="1" t="s">
        <v>90</v>
      </c>
      <c r="E558" s="1" t="str">
        <f>_xlfn.IFNA(VLOOKUP(Apps[[#This Row],[PostID]],Posts[[PostID]:[Position]],2,0),"")</f>
        <v>General Manager</v>
      </c>
      <c r="F558" s="4">
        <v>45411</v>
      </c>
      <c r="G558" s="3" t="s">
        <v>2847</v>
      </c>
      <c r="M558" s="3"/>
    </row>
    <row r="559" spans="1:13" x14ac:dyDescent="0.3">
      <c r="A559" s="1" t="s">
        <v>3411</v>
      </c>
      <c r="B559" s="1" t="s">
        <v>2779</v>
      </c>
      <c r="C559" s="1" t="str">
        <f>VLOOKUP(Apps[[#This Row],[CandID]],Cands[[CandID]:[Cand_Name]],2,0)</f>
        <v>Chea Sreynuth</v>
      </c>
      <c r="D559" s="1" t="s">
        <v>100</v>
      </c>
      <c r="E559" s="1" t="str">
        <f>_xlfn.IFNA(VLOOKUP(Apps[[#This Row],[PostID]],Posts[[PostID]:[Position]],2,0),"")</f>
        <v>Sales Director</v>
      </c>
      <c r="F559" s="4">
        <v>45411</v>
      </c>
      <c r="G559" s="3" t="s">
        <v>2847</v>
      </c>
      <c r="M559" s="3"/>
    </row>
    <row r="560" spans="1:13" x14ac:dyDescent="0.3">
      <c r="A560" s="1" t="s">
        <v>3412</v>
      </c>
      <c r="B560" s="1" t="s">
        <v>2780</v>
      </c>
      <c r="C560" s="1" t="str">
        <f>VLOOKUP(Apps[[#This Row],[CandID]],Cands[[CandID]:[Cand_Name]],2,0)</f>
        <v>Chheng Reaksmeysreypich</v>
      </c>
      <c r="D560" s="1" t="s">
        <v>100</v>
      </c>
      <c r="E560" s="1" t="str">
        <f>_xlfn.IFNA(VLOOKUP(Apps[[#This Row],[PostID]],Posts[[PostID]:[Position]],2,0),"")</f>
        <v>Sales Director</v>
      </c>
      <c r="F560" s="4">
        <v>45411</v>
      </c>
      <c r="G560" s="3" t="s">
        <v>2847</v>
      </c>
      <c r="M560" s="3"/>
    </row>
    <row r="561" spans="1:13" x14ac:dyDescent="0.3">
      <c r="A561" s="1" t="s">
        <v>3413</v>
      </c>
      <c r="B561" s="1" t="s">
        <v>2781</v>
      </c>
      <c r="C561" s="1" t="str">
        <f>VLOOKUP(Apps[[#This Row],[CandID]],Cands[[CandID]:[Cand_Name]],2,0)</f>
        <v>Horn Rotha</v>
      </c>
      <c r="D561" s="1" t="s">
        <v>119</v>
      </c>
      <c r="E561" s="1" t="str">
        <f>_xlfn.IFNA(VLOOKUP(Apps[[#This Row],[PostID]],Posts[[PostID]:[Position]],2,0),"")</f>
        <v>HRBP</v>
      </c>
      <c r="F561" s="4">
        <v>45411</v>
      </c>
      <c r="G561" s="3" t="s">
        <v>2847</v>
      </c>
      <c r="H561" s="8" t="s">
        <v>3475</v>
      </c>
      <c r="K561" s="8" t="s">
        <v>3521</v>
      </c>
      <c r="M561" s="3"/>
    </row>
    <row r="562" spans="1:13" x14ac:dyDescent="0.3">
      <c r="A562" s="1" t="s">
        <v>3414</v>
      </c>
      <c r="B562" s="1" t="s">
        <v>2782</v>
      </c>
      <c r="C562" s="1" t="str">
        <f>VLOOKUP(Apps[[#This Row],[CandID]],Cands[[CandID]:[Cand_Name]],2,0)</f>
        <v>Ouk Chanrany</v>
      </c>
      <c r="D562" s="1" t="s">
        <v>100</v>
      </c>
      <c r="E562" s="1" t="str">
        <f>_xlfn.IFNA(VLOOKUP(Apps[[#This Row],[PostID]],Posts[[PostID]:[Position]],2,0),"")</f>
        <v>Sales Director</v>
      </c>
      <c r="F562" s="4">
        <v>45411</v>
      </c>
      <c r="G562" s="3" t="s">
        <v>2847</v>
      </c>
      <c r="M562" s="3"/>
    </row>
    <row r="563" spans="1:13" x14ac:dyDescent="0.3">
      <c r="A563" s="1" t="s">
        <v>3415</v>
      </c>
      <c r="B563" s="1" t="s">
        <v>2783</v>
      </c>
      <c r="C563" s="1" t="str">
        <f>VLOOKUP(Apps[[#This Row],[CandID]],Cands[[CandID]:[Cand_Name]],2,0)</f>
        <v>Mao Sokrey</v>
      </c>
      <c r="D563" s="1" t="s">
        <v>98</v>
      </c>
      <c r="E563" s="1" t="str">
        <f>_xlfn.IFNA(VLOOKUP(Apps[[#This Row],[PostID]],Posts[[PostID]:[Position]],2,0),"")</f>
        <v>Marketing Manager</v>
      </c>
      <c r="F563" s="4">
        <v>45410</v>
      </c>
      <c r="G563" s="3" t="s">
        <v>3539</v>
      </c>
      <c r="H563" s="8" t="s">
        <v>3475</v>
      </c>
      <c r="K563" s="8" t="s">
        <v>3521</v>
      </c>
      <c r="M563" s="3"/>
    </row>
    <row r="564" spans="1:13" x14ac:dyDescent="0.3">
      <c r="A564" s="1" t="s">
        <v>3416</v>
      </c>
      <c r="B564" s="1" t="s">
        <v>2784</v>
      </c>
      <c r="C564" s="1" t="str">
        <f>VLOOKUP(Apps[[#This Row],[CandID]],Cands[[CandID]:[Cand_Name]],2,0)</f>
        <v>Nong Dina</v>
      </c>
      <c r="D564" s="1" t="s">
        <v>99</v>
      </c>
      <c r="E564" s="1" t="str">
        <f>_xlfn.IFNA(VLOOKUP(Apps[[#This Row],[PostID]],Posts[[PostID]:[Position]],2,0),"")</f>
        <v>Deputy Marketing Manager (event)</v>
      </c>
      <c r="F564" s="4">
        <v>45411</v>
      </c>
      <c r="G564" s="3" t="s">
        <v>2845</v>
      </c>
      <c r="M564" s="3"/>
    </row>
    <row r="565" spans="1:13" x14ac:dyDescent="0.3">
      <c r="A565" s="1" t="s">
        <v>3417</v>
      </c>
      <c r="B565" s="1" t="s">
        <v>2785</v>
      </c>
      <c r="C565" s="1" t="str">
        <f>VLOOKUP(Apps[[#This Row],[CandID]],Cands[[CandID]:[Cand_Name]],2,0)</f>
        <v>Mourn Thet</v>
      </c>
      <c r="D565" s="1" t="s">
        <v>99</v>
      </c>
      <c r="E565" s="1" t="str">
        <f>_xlfn.IFNA(VLOOKUP(Apps[[#This Row],[PostID]],Posts[[PostID]:[Position]],2,0),"")</f>
        <v>Deputy Marketing Manager (event)</v>
      </c>
      <c r="F565" s="4">
        <v>45411</v>
      </c>
      <c r="G565" s="3" t="s">
        <v>2845</v>
      </c>
      <c r="M565" s="3"/>
    </row>
    <row r="566" spans="1:13" x14ac:dyDescent="0.3">
      <c r="A566" s="1" t="s">
        <v>3418</v>
      </c>
      <c r="B566" s="1" t="s">
        <v>2786</v>
      </c>
      <c r="C566" s="1" t="str">
        <f>VLOOKUP(Apps[[#This Row],[CandID]],Cands[[CandID]:[Cand_Name]],2,0)</f>
        <v>Oum Chann Davy</v>
      </c>
      <c r="D566" s="1" t="s">
        <v>99</v>
      </c>
      <c r="E566" s="1" t="str">
        <f>_xlfn.IFNA(VLOOKUP(Apps[[#This Row],[PostID]],Posts[[PostID]:[Position]],2,0),"")</f>
        <v>Deputy Marketing Manager (event)</v>
      </c>
      <c r="F566" s="4">
        <v>45409</v>
      </c>
      <c r="G566" s="3" t="s">
        <v>2848</v>
      </c>
      <c r="M566" s="3"/>
    </row>
    <row r="567" spans="1:13" x14ac:dyDescent="0.3">
      <c r="A567" s="1" t="s">
        <v>3419</v>
      </c>
      <c r="B567" s="1" t="s">
        <v>2787</v>
      </c>
      <c r="C567" s="1" t="str">
        <f>VLOOKUP(Apps[[#This Row],[CandID]],Cands[[CandID]:[Cand_Name]],2,0)</f>
        <v>Choun Phanith</v>
      </c>
      <c r="D567" s="1" t="s">
        <v>105</v>
      </c>
      <c r="E567" s="1" t="str">
        <f>_xlfn.IFNA(VLOOKUP(Apps[[#This Row],[PostID]],Posts[[PostID]:[Position]],2,0),"")</f>
        <v>Deputy IT Manager</v>
      </c>
      <c r="F567" s="4">
        <v>45411</v>
      </c>
      <c r="G567" s="3" t="s">
        <v>2847</v>
      </c>
      <c r="H567" s="8" t="s">
        <v>3475</v>
      </c>
      <c r="K567" s="8" t="s">
        <v>3521</v>
      </c>
      <c r="M567" s="3"/>
    </row>
    <row r="568" spans="1:13" x14ac:dyDescent="0.3">
      <c r="A568" s="1" t="s">
        <v>3420</v>
      </c>
      <c r="B568" s="1" t="s">
        <v>2788</v>
      </c>
      <c r="C568" s="1" t="str">
        <f>VLOOKUP(Apps[[#This Row],[CandID]],Cands[[CandID]:[Cand_Name]],2,0)</f>
        <v>Sim Phok</v>
      </c>
      <c r="D568" s="1" t="s">
        <v>98</v>
      </c>
      <c r="E568" s="1" t="str">
        <f>_xlfn.IFNA(VLOOKUP(Apps[[#This Row],[PostID]],Posts[[PostID]:[Position]],2,0),"")</f>
        <v>Marketing Manager</v>
      </c>
      <c r="F568" s="4">
        <v>45411</v>
      </c>
      <c r="G568" s="3" t="s">
        <v>2847</v>
      </c>
      <c r="M568" s="3"/>
    </row>
    <row r="569" spans="1:13" x14ac:dyDescent="0.3">
      <c r="A569" s="1" t="s">
        <v>3421</v>
      </c>
      <c r="B569" s="1" t="s">
        <v>2789</v>
      </c>
      <c r="C569" s="1" t="str">
        <f>VLOOKUP(Apps[[#This Row],[CandID]],Cands[[CandID]:[Cand_Name]],2,0)</f>
        <v>Uk Pitou</v>
      </c>
      <c r="D569" s="1" t="s">
        <v>90</v>
      </c>
      <c r="E569" s="1" t="str">
        <f>_xlfn.IFNA(VLOOKUP(Apps[[#This Row],[PostID]],Posts[[PostID]:[Position]],2,0),"")</f>
        <v>General Manager</v>
      </c>
      <c r="F569" s="4">
        <v>45412</v>
      </c>
      <c r="G569" s="3" t="s">
        <v>2847</v>
      </c>
      <c r="M569" s="3"/>
    </row>
    <row r="570" spans="1:13" x14ac:dyDescent="0.3">
      <c r="A570" s="1" t="s">
        <v>3422</v>
      </c>
      <c r="B570" s="1" t="s">
        <v>2790</v>
      </c>
      <c r="C570" s="1" t="str">
        <f>VLOOKUP(Apps[[#This Row],[CandID]],Cands[[CandID]:[Cand_Name]],2,0)</f>
        <v>Ek Sopheap</v>
      </c>
      <c r="D570" s="1" t="s">
        <v>119</v>
      </c>
      <c r="E570" s="1" t="str">
        <f>_xlfn.IFNA(VLOOKUP(Apps[[#This Row],[PostID]],Posts[[PostID]:[Position]],2,0),"")</f>
        <v>HRBP</v>
      </c>
      <c r="F570" s="4">
        <v>45412</v>
      </c>
      <c r="G570" s="3" t="s">
        <v>2847</v>
      </c>
      <c r="M570" s="3"/>
    </row>
    <row r="571" spans="1:13" x14ac:dyDescent="0.3">
      <c r="A571" s="1" t="s">
        <v>3423</v>
      </c>
      <c r="B571" s="1" t="s">
        <v>2791</v>
      </c>
      <c r="C571" s="1" t="str">
        <f>VLOOKUP(Apps[[#This Row],[CandID]],Cands[[CandID]:[Cand_Name]],2,0)</f>
        <v>Chhat Kanha</v>
      </c>
      <c r="D571" s="1" t="s">
        <v>119</v>
      </c>
      <c r="E571" s="1" t="str">
        <f>_xlfn.IFNA(VLOOKUP(Apps[[#This Row],[PostID]],Posts[[PostID]:[Position]],2,0),"")</f>
        <v>HRBP</v>
      </c>
      <c r="F571" s="4">
        <v>45413</v>
      </c>
      <c r="G571" s="3" t="s">
        <v>2847</v>
      </c>
      <c r="M571" s="3"/>
    </row>
    <row r="572" spans="1:13" x14ac:dyDescent="0.3">
      <c r="A572" s="1" t="s">
        <v>3424</v>
      </c>
      <c r="B572" s="1" t="s">
        <v>2792</v>
      </c>
      <c r="C572" s="1" t="str">
        <f>VLOOKUP(Apps[[#This Row],[CandID]],Cands[[CandID]:[Cand_Name]],2,0)</f>
        <v>Horm Keosereyroath</v>
      </c>
      <c r="D572" s="1" t="s">
        <v>94</v>
      </c>
      <c r="E572" s="1" t="str">
        <f>_xlfn.IFNA(VLOOKUP(Apps[[#This Row],[PostID]],Posts[[PostID]:[Position]],2,0),"")</f>
        <v>Farm Manager</v>
      </c>
      <c r="F572" s="4">
        <v>45413</v>
      </c>
      <c r="G572" s="3" t="s">
        <v>2847</v>
      </c>
      <c r="M572" s="3"/>
    </row>
    <row r="573" spans="1:13" x14ac:dyDescent="0.3">
      <c r="A573" s="1" t="s">
        <v>3425</v>
      </c>
      <c r="B573" s="1" t="s">
        <v>2793</v>
      </c>
      <c r="C573" s="1" t="str">
        <f>VLOOKUP(Apps[[#This Row],[CandID]],Cands[[CandID]:[Cand_Name]],2,0)</f>
        <v>Ros Chanphanin</v>
      </c>
      <c r="D573" s="1" t="s">
        <v>99</v>
      </c>
      <c r="E573" s="1" t="str">
        <f>_xlfn.IFNA(VLOOKUP(Apps[[#This Row],[PostID]],Posts[[PostID]:[Position]],2,0),"")</f>
        <v>Deputy Marketing Manager (event)</v>
      </c>
      <c r="F573" s="4">
        <v>45413</v>
      </c>
      <c r="G573" s="3" t="s">
        <v>2847</v>
      </c>
      <c r="H573" s="8" t="s">
        <v>3475</v>
      </c>
      <c r="K573" s="8" t="s">
        <v>3521</v>
      </c>
      <c r="M573" s="3"/>
    </row>
    <row r="574" spans="1:13" x14ac:dyDescent="0.3">
      <c r="A574" s="1" t="s">
        <v>3426</v>
      </c>
      <c r="B574" s="1" t="s">
        <v>2794</v>
      </c>
      <c r="C574" s="1" t="str">
        <f>VLOOKUP(Apps[[#This Row],[CandID]],Cands[[CandID]:[Cand_Name]],2,0)</f>
        <v>Chuon Punlok</v>
      </c>
      <c r="D574" s="1" t="s">
        <v>119</v>
      </c>
      <c r="E574" s="1" t="str">
        <f>_xlfn.IFNA(VLOOKUP(Apps[[#This Row],[PostID]],Posts[[PostID]:[Position]],2,0),"")</f>
        <v>HRBP</v>
      </c>
      <c r="F574" s="4">
        <v>45412</v>
      </c>
      <c r="G574" s="3" t="s">
        <v>2845</v>
      </c>
      <c r="H574" s="8" t="s">
        <v>3475</v>
      </c>
      <c r="K574" s="8" t="s">
        <v>3521</v>
      </c>
      <c r="M574" s="3"/>
    </row>
    <row r="575" spans="1:13" x14ac:dyDescent="0.3">
      <c r="A575" s="1" t="s">
        <v>3427</v>
      </c>
      <c r="B575" s="1" t="s">
        <v>2795</v>
      </c>
      <c r="C575" s="1" t="str">
        <f>VLOOKUP(Apps[[#This Row],[CandID]],Cands[[CandID]:[Cand_Name]],2,0)</f>
        <v>To Visal</v>
      </c>
      <c r="D575" s="1" t="s">
        <v>126</v>
      </c>
      <c r="E575" s="1" t="str">
        <f>_xlfn.IFNA(VLOOKUP(Apps[[#This Row],[PostID]],Posts[[PostID]:[Position]],2,0),"")</f>
        <v>Architect</v>
      </c>
      <c r="F575" s="4">
        <v>45412</v>
      </c>
      <c r="G575" s="3" t="s">
        <v>2845</v>
      </c>
      <c r="H575" s="8" t="s">
        <v>3477</v>
      </c>
      <c r="I575" s="4">
        <v>45416</v>
      </c>
      <c r="K575" s="8" t="s">
        <v>2852</v>
      </c>
      <c r="M575" s="3"/>
    </row>
    <row r="576" spans="1:13" x14ac:dyDescent="0.3">
      <c r="A576" s="1" t="s">
        <v>3428</v>
      </c>
      <c r="B576" s="1" t="s">
        <v>2796</v>
      </c>
      <c r="C576" s="1" t="str">
        <f>VLOOKUP(Apps[[#This Row],[CandID]],Cands[[CandID]:[Cand_Name]],2,0)</f>
        <v>Cheam Sokpheng</v>
      </c>
      <c r="D576" s="1" t="s">
        <v>100</v>
      </c>
      <c r="E576" s="1" t="str">
        <f>_xlfn.IFNA(VLOOKUP(Apps[[#This Row],[PostID]],Posts[[PostID]:[Position]],2,0),"")</f>
        <v>Sales Director</v>
      </c>
      <c r="F576" s="4">
        <v>45411</v>
      </c>
      <c r="G576" s="3" t="s">
        <v>2848</v>
      </c>
      <c r="H576" s="8" t="s">
        <v>3477</v>
      </c>
      <c r="I576" s="4">
        <v>45412</v>
      </c>
      <c r="J576" s="4">
        <v>45416</v>
      </c>
      <c r="L576" s="4">
        <v>45419</v>
      </c>
      <c r="M576" s="3" t="s">
        <v>2851</v>
      </c>
    </row>
    <row r="577" spans="1:13" x14ac:dyDescent="0.3">
      <c r="A577" s="1" t="s">
        <v>3429</v>
      </c>
      <c r="B577" s="1" t="s">
        <v>2797</v>
      </c>
      <c r="C577" s="1" t="str">
        <f>VLOOKUP(Apps[[#This Row],[CandID]],Cands[[CandID]:[Cand_Name]],2,0)</f>
        <v>Khann Sarith</v>
      </c>
      <c r="D577" s="1" t="s">
        <v>94</v>
      </c>
      <c r="E577" s="1" t="str">
        <f>_xlfn.IFNA(VLOOKUP(Apps[[#This Row],[PostID]],Posts[[PostID]:[Position]],2,0),"")</f>
        <v>Farm Manager</v>
      </c>
      <c r="F577" s="4">
        <v>45412</v>
      </c>
      <c r="G577" s="3" t="s">
        <v>2848</v>
      </c>
      <c r="M577" s="3"/>
    </row>
    <row r="578" spans="1:13" x14ac:dyDescent="0.3">
      <c r="A578" s="1" t="s">
        <v>3430</v>
      </c>
      <c r="B578" s="1" t="s">
        <v>2798</v>
      </c>
      <c r="C578" s="1" t="str">
        <f>VLOOKUP(Apps[[#This Row],[CandID]],Cands[[CandID]:[Cand_Name]],2,0)</f>
        <v>Nget Sivutharoth</v>
      </c>
      <c r="D578" s="1" t="s">
        <v>100</v>
      </c>
      <c r="E578" s="1" t="str">
        <f>_xlfn.IFNA(VLOOKUP(Apps[[#This Row],[PostID]],Posts[[PostID]:[Position]],2,0),"")</f>
        <v>Sales Director</v>
      </c>
      <c r="F578" s="4">
        <v>45412</v>
      </c>
      <c r="G578" s="3" t="s">
        <v>2848</v>
      </c>
      <c r="H578" s="8" t="s">
        <v>3475</v>
      </c>
      <c r="K578" s="8" t="s">
        <v>3521</v>
      </c>
      <c r="M578" s="3"/>
    </row>
    <row r="579" spans="1:13" x14ac:dyDescent="0.3">
      <c r="A579" s="1" t="s">
        <v>3431</v>
      </c>
      <c r="B579" s="1" t="s">
        <v>2799</v>
      </c>
      <c r="C579" s="1" t="str">
        <f>VLOOKUP(Apps[[#This Row],[CandID]],Cands[[CandID]:[Cand_Name]],2,0)</f>
        <v>Yim Sreypov</v>
      </c>
      <c r="D579" s="1" t="s">
        <v>100</v>
      </c>
      <c r="E579" s="1" t="str">
        <f>_xlfn.IFNA(VLOOKUP(Apps[[#This Row],[PostID]],Posts[[PostID]:[Position]],2,0),"")</f>
        <v>Sales Director</v>
      </c>
      <c r="F579" s="4">
        <v>45412</v>
      </c>
      <c r="G579" s="3" t="s">
        <v>2848</v>
      </c>
      <c r="M579" s="3"/>
    </row>
    <row r="580" spans="1:13" x14ac:dyDescent="0.3">
      <c r="A580" s="1" t="s">
        <v>3432</v>
      </c>
      <c r="B580" s="1" t="s">
        <v>2800</v>
      </c>
      <c r="C580" s="1" t="str">
        <f>VLOOKUP(Apps[[#This Row],[CandID]],Cands[[CandID]:[Cand_Name]],2,0)</f>
        <v>Oeun Thida</v>
      </c>
      <c r="D580" s="1" t="s">
        <v>119</v>
      </c>
      <c r="E580" s="1" t="str">
        <f>_xlfn.IFNA(VLOOKUP(Apps[[#This Row],[PostID]],Posts[[PostID]:[Position]],2,0),"")</f>
        <v>HRBP</v>
      </c>
      <c r="F580" s="4">
        <v>45412</v>
      </c>
      <c r="G580" s="3" t="s">
        <v>3539</v>
      </c>
      <c r="M580" s="3"/>
    </row>
    <row r="581" spans="1:13" x14ac:dyDescent="0.3">
      <c r="A581" s="1" t="s">
        <v>3433</v>
      </c>
      <c r="B581" s="1" t="s">
        <v>2801</v>
      </c>
      <c r="C581" s="1" t="str">
        <f>VLOOKUP(Apps[[#This Row],[CandID]],Cands[[CandID]:[Cand_Name]],2,0)</f>
        <v>Suon Srey Neth</v>
      </c>
      <c r="D581" s="1" t="s">
        <v>119</v>
      </c>
      <c r="E581" s="1" t="str">
        <f>_xlfn.IFNA(VLOOKUP(Apps[[#This Row],[PostID]],Posts[[PostID]:[Position]],2,0),"")</f>
        <v>HRBP</v>
      </c>
      <c r="F581" s="4">
        <v>45412</v>
      </c>
      <c r="G581" s="3" t="s">
        <v>2847</v>
      </c>
      <c r="H581" s="8" t="s">
        <v>3475</v>
      </c>
      <c r="K581" s="8" t="s">
        <v>3521</v>
      </c>
      <c r="M581" s="3"/>
    </row>
    <row r="582" spans="1:13" x14ac:dyDescent="0.3">
      <c r="A582" s="1" t="s">
        <v>3434</v>
      </c>
      <c r="B582" s="1" t="s">
        <v>2802</v>
      </c>
      <c r="C582" s="1" t="str">
        <f>VLOOKUP(Apps[[#This Row],[CandID]],Cands[[CandID]:[Cand_Name]],2,0)</f>
        <v>Yoeung Panha</v>
      </c>
      <c r="D582" s="1" t="s">
        <v>105</v>
      </c>
      <c r="E582" s="1" t="str">
        <f>_xlfn.IFNA(VLOOKUP(Apps[[#This Row],[PostID]],Posts[[PostID]:[Position]],2,0),"")</f>
        <v>Deputy IT Manager</v>
      </c>
      <c r="F582" s="4">
        <v>45412</v>
      </c>
      <c r="G582" s="3" t="s">
        <v>2847</v>
      </c>
      <c r="M582" s="3"/>
    </row>
    <row r="583" spans="1:13" x14ac:dyDescent="0.3">
      <c r="A583" s="1" t="s">
        <v>3435</v>
      </c>
      <c r="B583" s="1" t="s">
        <v>2803</v>
      </c>
      <c r="C583" s="1" t="str">
        <f>VLOOKUP(Apps[[#This Row],[CandID]],Cands[[CandID]:[Cand_Name]],2,0)</f>
        <v>Chhen Sidet</v>
      </c>
      <c r="D583" s="1" t="s">
        <v>99</v>
      </c>
      <c r="E583" s="1" t="str">
        <f>_xlfn.IFNA(VLOOKUP(Apps[[#This Row],[PostID]],Posts[[PostID]:[Position]],2,0),"")</f>
        <v>Deputy Marketing Manager (event)</v>
      </c>
      <c r="F583" s="4">
        <v>45414</v>
      </c>
      <c r="G583" s="3" t="s">
        <v>2847</v>
      </c>
      <c r="H583" s="8" t="s">
        <v>3477</v>
      </c>
      <c r="M583" s="3"/>
    </row>
    <row r="584" spans="1:13" x14ac:dyDescent="0.3">
      <c r="A584" s="1" t="s">
        <v>3436</v>
      </c>
      <c r="B584" s="1" t="s">
        <v>2804</v>
      </c>
      <c r="C584" s="1" t="str">
        <f>VLOOKUP(Apps[[#This Row],[CandID]],Cands[[CandID]:[Cand_Name]],2,0)</f>
        <v>Ly Sokhour</v>
      </c>
      <c r="D584" s="1" t="s">
        <v>99</v>
      </c>
      <c r="E584" s="1" t="str">
        <f>_xlfn.IFNA(VLOOKUP(Apps[[#This Row],[PostID]],Posts[[PostID]:[Position]],2,0),"")</f>
        <v>Deputy Marketing Manager (event)</v>
      </c>
      <c r="F584" s="4">
        <v>45414</v>
      </c>
      <c r="G584" s="3" t="s">
        <v>2847</v>
      </c>
      <c r="M584" s="3"/>
    </row>
    <row r="585" spans="1:13" x14ac:dyDescent="0.3">
      <c r="A585" s="1" t="s">
        <v>3437</v>
      </c>
      <c r="B585" s="1" t="s">
        <v>2805</v>
      </c>
      <c r="C585" s="1" t="str">
        <f>VLOOKUP(Apps[[#This Row],[CandID]],Cands[[CandID]:[Cand_Name]],2,0)</f>
        <v>Sao Bony</v>
      </c>
      <c r="D585" s="1" t="s">
        <v>119</v>
      </c>
      <c r="E585" s="1" t="str">
        <f>_xlfn.IFNA(VLOOKUP(Apps[[#This Row],[PostID]],Posts[[PostID]:[Position]],2,0),"")</f>
        <v>HRBP</v>
      </c>
      <c r="F585" s="4">
        <v>45414</v>
      </c>
      <c r="G585" s="3" t="s">
        <v>2847</v>
      </c>
      <c r="M585" s="3"/>
    </row>
    <row r="586" spans="1:13" x14ac:dyDescent="0.3">
      <c r="A586" s="1" t="s">
        <v>3438</v>
      </c>
      <c r="B586" s="1" t="s">
        <v>2806</v>
      </c>
      <c r="C586" s="1" t="str">
        <f>VLOOKUP(Apps[[#This Row],[CandID]],Cands[[CandID]:[Cand_Name]],2,0)</f>
        <v>Ay Saeam</v>
      </c>
      <c r="D586" s="1" t="s">
        <v>99</v>
      </c>
      <c r="E586" s="1" t="str">
        <f>_xlfn.IFNA(VLOOKUP(Apps[[#This Row],[PostID]],Posts[[PostID]:[Position]],2,0),"")</f>
        <v>Deputy Marketing Manager (event)</v>
      </c>
      <c r="F586" s="4">
        <v>45415</v>
      </c>
      <c r="G586" s="3" t="s">
        <v>2847</v>
      </c>
      <c r="M586" s="3"/>
    </row>
    <row r="587" spans="1:13" x14ac:dyDescent="0.3">
      <c r="A587" s="1" t="s">
        <v>3439</v>
      </c>
      <c r="B587" s="1" t="s">
        <v>2807</v>
      </c>
      <c r="C587" s="1" t="str">
        <f>VLOOKUP(Apps[[#This Row],[CandID]],Cands[[CandID]:[Cand_Name]],2,0)</f>
        <v>Bout Borith</v>
      </c>
      <c r="D587" s="1" t="s">
        <v>105</v>
      </c>
      <c r="E587" s="1" t="str">
        <f>_xlfn.IFNA(VLOOKUP(Apps[[#This Row],[PostID]],Posts[[PostID]:[Position]],2,0),"")</f>
        <v>Deputy IT Manager</v>
      </c>
      <c r="F587" s="4">
        <v>45415</v>
      </c>
      <c r="G587" s="3" t="s">
        <v>2847</v>
      </c>
      <c r="H587" s="8" t="s">
        <v>3477</v>
      </c>
      <c r="M587" s="3"/>
    </row>
    <row r="588" spans="1:13" x14ac:dyDescent="0.3">
      <c r="A588" s="1" t="s">
        <v>3440</v>
      </c>
      <c r="B588" s="1" t="s">
        <v>2808</v>
      </c>
      <c r="C588" s="1" t="str">
        <f>VLOOKUP(Apps[[#This Row],[CandID]],Cands[[CandID]:[Cand_Name]],2,0)</f>
        <v>Chea Saramono</v>
      </c>
      <c r="D588" s="1" t="s">
        <v>105</v>
      </c>
      <c r="E588" s="1" t="str">
        <f>_xlfn.IFNA(VLOOKUP(Apps[[#This Row],[PostID]],Posts[[PostID]:[Position]],2,0),"")</f>
        <v>Deputy IT Manager</v>
      </c>
      <c r="F588" s="4">
        <v>45415</v>
      </c>
      <c r="G588" s="3" t="s">
        <v>2847</v>
      </c>
      <c r="H588" s="8" t="s">
        <v>3477</v>
      </c>
      <c r="M588" s="3"/>
    </row>
    <row r="589" spans="1:13" x14ac:dyDescent="0.3">
      <c r="A589" s="1" t="s">
        <v>3441</v>
      </c>
      <c r="B589" s="1" t="s">
        <v>2809</v>
      </c>
      <c r="C589" s="1" t="str">
        <f>VLOOKUP(Apps[[#This Row],[CandID]],Cands[[CandID]:[Cand_Name]],2,0)</f>
        <v>Chhaileap Sievmey</v>
      </c>
      <c r="D589" s="1" t="s">
        <v>99</v>
      </c>
      <c r="E589" s="1" t="str">
        <f>_xlfn.IFNA(VLOOKUP(Apps[[#This Row],[PostID]],Posts[[PostID]:[Position]],2,0),"")</f>
        <v>Deputy Marketing Manager (event)</v>
      </c>
      <c r="F589" s="4">
        <v>45415</v>
      </c>
      <c r="G589" s="3" t="s">
        <v>2847</v>
      </c>
      <c r="M589" s="3"/>
    </row>
    <row r="590" spans="1:13" x14ac:dyDescent="0.3">
      <c r="A590" s="1" t="s">
        <v>3442</v>
      </c>
      <c r="B590" s="1" t="s">
        <v>2810</v>
      </c>
      <c r="C590" s="1" t="str">
        <f>VLOOKUP(Apps[[#This Row],[CandID]],Cands[[CandID]:[Cand_Name]],2,0)</f>
        <v>Em Vannak</v>
      </c>
      <c r="D590" s="1" t="s">
        <v>119</v>
      </c>
      <c r="E590" s="1" t="str">
        <f>_xlfn.IFNA(VLOOKUP(Apps[[#This Row],[PostID]],Posts[[PostID]:[Position]],2,0),"")</f>
        <v>HRBP</v>
      </c>
      <c r="F590" s="4">
        <v>45415</v>
      </c>
      <c r="G590" s="3" t="s">
        <v>2847</v>
      </c>
      <c r="M590" s="3"/>
    </row>
    <row r="591" spans="1:13" x14ac:dyDescent="0.3">
      <c r="A591" s="1" t="s">
        <v>3443</v>
      </c>
      <c r="B591" s="1" t="s">
        <v>2811</v>
      </c>
      <c r="C591" s="1" t="str">
        <f>VLOOKUP(Apps[[#This Row],[CandID]],Cands[[CandID]:[Cand_Name]],2,0)</f>
        <v>Norm Vidun</v>
      </c>
      <c r="D591" s="1" t="s">
        <v>99</v>
      </c>
      <c r="E591" s="1" t="str">
        <f>_xlfn.IFNA(VLOOKUP(Apps[[#This Row],[PostID]],Posts[[PostID]:[Position]],2,0),"")</f>
        <v>Deputy Marketing Manager (event)</v>
      </c>
      <c r="F591" s="4">
        <v>45415</v>
      </c>
      <c r="G591" s="3" t="s">
        <v>2847</v>
      </c>
      <c r="M591" s="3"/>
    </row>
    <row r="592" spans="1:13" x14ac:dyDescent="0.3">
      <c r="A592" s="1" t="s">
        <v>3444</v>
      </c>
      <c r="B592" s="1" t="s">
        <v>2812</v>
      </c>
      <c r="C592" s="1" t="str">
        <f>VLOOKUP(Apps[[#This Row],[CandID]],Cands[[CandID]:[Cand_Name]],2,0)</f>
        <v>Suy Phally</v>
      </c>
      <c r="D592" s="1" t="s">
        <v>119</v>
      </c>
      <c r="E592" s="1" t="str">
        <f>_xlfn.IFNA(VLOOKUP(Apps[[#This Row],[PostID]],Posts[[PostID]:[Position]],2,0),"")</f>
        <v>HRBP</v>
      </c>
      <c r="F592" s="4">
        <v>45415</v>
      </c>
      <c r="G592" s="3" t="s">
        <v>2847</v>
      </c>
      <c r="M592" s="3"/>
    </row>
    <row r="593" spans="1:13" x14ac:dyDescent="0.3">
      <c r="A593" s="1" t="s">
        <v>3445</v>
      </c>
      <c r="B593" s="1" t="s">
        <v>2813</v>
      </c>
      <c r="C593" s="1" t="str">
        <f>VLOOKUP(Apps[[#This Row],[CandID]],Cands[[CandID]:[Cand_Name]],2,0)</f>
        <v>Rin Dara</v>
      </c>
      <c r="D593" s="1" t="s">
        <v>119</v>
      </c>
      <c r="E593" s="1" t="str">
        <f>_xlfn.IFNA(VLOOKUP(Apps[[#This Row],[PostID]],Posts[[PostID]:[Position]],2,0),"")</f>
        <v>HRBP</v>
      </c>
      <c r="F593" s="4">
        <v>45415</v>
      </c>
      <c r="G593" s="3" t="s">
        <v>2847</v>
      </c>
      <c r="M593" s="3"/>
    </row>
    <row r="594" spans="1:13" x14ac:dyDescent="0.3">
      <c r="A594" s="1" t="s">
        <v>3446</v>
      </c>
      <c r="B594" s="1" t="s">
        <v>2814</v>
      </c>
      <c r="C594" s="1" t="str">
        <f>VLOOKUP(Apps[[#This Row],[CandID]],Cands[[CandID]:[Cand_Name]],2,0)</f>
        <v>Sok Udom</v>
      </c>
      <c r="D594" s="1" t="s">
        <v>119</v>
      </c>
      <c r="E594" s="1" t="str">
        <f>_xlfn.IFNA(VLOOKUP(Apps[[#This Row],[PostID]],Posts[[PostID]:[Position]],2,0),"")</f>
        <v>HRBP</v>
      </c>
      <c r="F594" s="4">
        <v>45415</v>
      </c>
      <c r="G594" s="3" t="s">
        <v>2847</v>
      </c>
      <c r="M594" s="3"/>
    </row>
    <row r="595" spans="1:13" x14ac:dyDescent="0.3">
      <c r="A595" s="1" t="s">
        <v>3447</v>
      </c>
      <c r="B595" s="1" t="s">
        <v>2815</v>
      </c>
      <c r="C595" s="1" t="str">
        <f>VLOOKUP(Apps[[#This Row],[CandID]],Cands[[CandID]:[Cand_Name]],2,0)</f>
        <v>Ty Hengleng</v>
      </c>
      <c r="D595" s="1" t="s">
        <v>119</v>
      </c>
      <c r="E595" s="1" t="str">
        <f>_xlfn.IFNA(VLOOKUP(Apps[[#This Row],[PostID]],Posts[[PostID]:[Position]],2,0),"")</f>
        <v>HRBP</v>
      </c>
      <c r="F595" s="4">
        <v>45415</v>
      </c>
      <c r="G595" s="3" t="s">
        <v>2847</v>
      </c>
      <c r="M595" s="3"/>
    </row>
    <row r="596" spans="1:13" x14ac:dyDescent="0.3">
      <c r="A596" s="1" t="s">
        <v>3448</v>
      </c>
      <c r="B596" s="1" t="s">
        <v>2816</v>
      </c>
      <c r="C596" s="1" t="str">
        <f>VLOOKUP(Apps[[#This Row],[CandID]],Cands[[CandID]:[Cand_Name]],2,0)</f>
        <v>Chhoch Sreyleak</v>
      </c>
      <c r="D596" s="1" t="s">
        <v>99</v>
      </c>
      <c r="E596" s="1" t="str">
        <f>_xlfn.IFNA(VLOOKUP(Apps[[#This Row],[PostID]],Posts[[PostID]:[Position]],2,0),"")</f>
        <v>Deputy Marketing Manager (event)</v>
      </c>
      <c r="F596" s="4">
        <v>45415</v>
      </c>
      <c r="G596" s="3" t="s">
        <v>3539</v>
      </c>
      <c r="M596" s="3"/>
    </row>
    <row r="597" spans="1:13" x14ac:dyDescent="0.3">
      <c r="A597" s="1" t="s">
        <v>3449</v>
      </c>
      <c r="B597" s="1" t="s">
        <v>2817</v>
      </c>
      <c r="C597" s="1" t="str">
        <f>VLOOKUP(Apps[[#This Row],[CandID]],Cands[[CandID]:[Cand_Name]],2,0)</f>
        <v>Chom Chenda</v>
      </c>
      <c r="D597" s="1" t="s">
        <v>99</v>
      </c>
      <c r="E597" s="1" t="str">
        <f>_xlfn.IFNA(VLOOKUP(Apps[[#This Row],[PostID]],Posts[[PostID]:[Position]],2,0),"")</f>
        <v>Deputy Marketing Manager (event)</v>
      </c>
      <c r="F597" s="4">
        <v>45415</v>
      </c>
      <c r="G597" s="3" t="s">
        <v>3539</v>
      </c>
      <c r="M597" s="3"/>
    </row>
    <row r="598" spans="1:13" x14ac:dyDescent="0.3">
      <c r="A598" s="1" t="s">
        <v>3450</v>
      </c>
      <c r="B598" s="1" t="s">
        <v>2818</v>
      </c>
      <c r="C598" s="1" t="str">
        <f>VLOOKUP(Apps[[#This Row],[CandID]],Cands[[CandID]:[Cand_Name]],2,0)</f>
        <v>Kim Sokonthea</v>
      </c>
      <c r="D598" s="1" t="s">
        <v>119</v>
      </c>
      <c r="E598" s="1" t="str">
        <f>_xlfn.IFNA(VLOOKUP(Apps[[#This Row],[PostID]],Posts[[PostID]:[Position]],2,0),"")</f>
        <v>HRBP</v>
      </c>
      <c r="F598" s="4">
        <v>45415</v>
      </c>
      <c r="G598" s="3" t="s">
        <v>3539</v>
      </c>
      <c r="M598" s="3"/>
    </row>
    <row r="599" spans="1:13" x14ac:dyDescent="0.3">
      <c r="A599" s="1" t="s">
        <v>3451</v>
      </c>
      <c r="B599" s="1" t="s">
        <v>2819</v>
      </c>
      <c r="C599" s="1" t="str">
        <f>VLOOKUP(Apps[[#This Row],[CandID]],Cands[[CandID]:[Cand_Name]],2,0)</f>
        <v>Sou Sreyoun</v>
      </c>
      <c r="D599" s="1" t="s">
        <v>99</v>
      </c>
      <c r="E599" s="1" t="str">
        <f>_xlfn.IFNA(VLOOKUP(Apps[[#This Row],[PostID]],Posts[[PostID]:[Position]],2,0),"")</f>
        <v>Deputy Marketing Manager (event)</v>
      </c>
      <c r="F599" s="4">
        <v>45415</v>
      </c>
      <c r="G599" s="3" t="s">
        <v>3539</v>
      </c>
      <c r="M599" s="3"/>
    </row>
    <row r="600" spans="1:13" x14ac:dyDescent="0.3">
      <c r="A600" s="1" t="s">
        <v>3452</v>
      </c>
      <c r="B600" s="1" t="s">
        <v>2820</v>
      </c>
      <c r="C600" s="1" t="str">
        <f>VLOOKUP(Apps[[#This Row],[CandID]],Cands[[CandID]:[Cand_Name]],2,0)</f>
        <v>Rean Monyroth</v>
      </c>
      <c r="D600" s="1" t="s">
        <v>126</v>
      </c>
      <c r="E600" s="1" t="str">
        <f>_xlfn.IFNA(VLOOKUP(Apps[[#This Row],[PostID]],Posts[[PostID]:[Position]],2,0),"")</f>
        <v>Architect</v>
      </c>
      <c r="F600" s="4">
        <v>45415</v>
      </c>
      <c r="G600" s="3" t="s">
        <v>3539</v>
      </c>
      <c r="M600" s="3"/>
    </row>
    <row r="601" spans="1:13" x14ac:dyDescent="0.3">
      <c r="A601" s="1" t="s">
        <v>3453</v>
      </c>
      <c r="B601" s="1" t="s">
        <v>2821</v>
      </c>
      <c r="C601" s="1" t="str">
        <f>VLOOKUP(Apps[[#This Row],[CandID]],Cands[[CandID]:[Cand_Name]],2,0)</f>
        <v>Tong Sok Hour</v>
      </c>
      <c r="D601" s="1" t="s">
        <v>100</v>
      </c>
      <c r="E601" s="1" t="str">
        <f>_xlfn.IFNA(VLOOKUP(Apps[[#This Row],[PostID]],Posts[[PostID]:[Position]],2,0),"")</f>
        <v>Sales Director</v>
      </c>
      <c r="F601" s="4">
        <v>45415</v>
      </c>
      <c r="G601" s="3" t="s">
        <v>3539</v>
      </c>
      <c r="M601" s="3"/>
    </row>
    <row r="602" spans="1:13" x14ac:dyDescent="0.3">
      <c r="A602" s="1" t="s">
        <v>3454</v>
      </c>
      <c r="B602" s="1" t="s">
        <v>2822</v>
      </c>
      <c r="C602" s="1" t="str">
        <f>VLOOKUP(Apps[[#This Row],[CandID]],Cands[[CandID]:[Cand_Name]],2,0)</f>
        <v>Eng Sophorn</v>
      </c>
      <c r="D602" s="1" t="s">
        <v>126</v>
      </c>
      <c r="E602" s="1" t="str">
        <f>_xlfn.IFNA(VLOOKUP(Apps[[#This Row],[PostID]],Posts[[PostID]:[Position]],2,0),"")</f>
        <v>Architect</v>
      </c>
      <c r="F602" s="4">
        <v>45415</v>
      </c>
      <c r="G602" s="3" t="s">
        <v>3539</v>
      </c>
      <c r="M602" s="3"/>
    </row>
    <row r="603" spans="1:13" x14ac:dyDescent="0.3">
      <c r="A603" s="1" t="s">
        <v>3455</v>
      </c>
      <c r="B603" s="1" t="s">
        <v>2823</v>
      </c>
      <c r="C603" s="1" t="str">
        <f>VLOOKUP(Apps[[#This Row],[CandID]],Cands[[CandID]:[Cand_Name]],2,0)</f>
        <v>Phoung Sokchea</v>
      </c>
      <c r="D603" s="1" t="s">
        <v>126</v>
      </c>
      <c r="E603" s="1" t="str">
        <f>_xlfn.IFNA(VLOOKUP(Apps[[#This Row],[PostID]],Posts[[PostID]:[Position]],2,0),"")</f>
        <v>Architect</v>
      </c>
      <c r="F603" s="4">
        <v>45415</v>
      </c>
      <c r="G603" s="3" t="s">
        <v>3539</v>
      </c>
      <c r="M603" s="3"/>
    </row>
    <row r="604" spans="1:13" x14ac:dyDescent="0.3">
      <c r="A604" s="1" t="s">
        <v>3456</v>
      </c>
      <c r="B604" s="1" t="s">
        <v>2824</v>
      </c>
      <c r="C604" s="1" t="str">
        <f>VLOOKUP(Apps[[#This Row],[CandID]],Cands[[CandID]:[Cand_Name]],2,0)</f>
        <v>Maat Kafa</v>
      </c>
      <c r="D604" s="1" t="s">
        <v>94</v>
      </c>
      <c r="E604" s="1" t="str">
        <f>_xlfn.IFNA(VLOOKUP(Apps[[#This Row],[PostID]],Posts[[PostID]:[Position]],2,0),"")</f>
        <v>Farm Manager</v>
      </c>
      <c r="F604" s="4">
        <v>45414</v>
      </c>
      <c r="G604" s="3" t="s">
        <v>2849</v>
      </c>
      <c r="M604" s="3"/>
    </row>
    <row r="605" spans="1:13" x14ac:dyDescent="0.3">
      <c r="A605" s="1" t="s">
        <v>3457</v>
      </c>
      <c r="B605" s="1" t="s">
        <v>2825</v>
      </c>
      <c r="C605" s="1" t="str">
        <f>VLOOKUP(Apps[[#This Row],[CandID]],Cands[[CandID]:[Cand_Name]],2,0)</f>
        <v>Pil Vichet</v>
      </c>
      <c r="D605" s="1" t="s">
        <v>119</v>
      </c>
      <c r="E605" s="1" t="str">
        <f>_xlfn.IFNA(VLOOKUP(Apps[[#This Row],[PostID]],Posts[[PostID]:[Position]],2,0),"")</f>
        <v>HRBP</v>
      </c>
      <c r="F605" s="4">
        <v>45415</v>
      </c>
      <c r="G605" s="3" t="s">
        <v>2845</v>
      </c>
      <c r="M605" s="3"/>
    </row>
    <row r="606" spans="1:13" x14ac:dyDescent="0.3">
      <c r="A606" s="1" t="s">
        <v>3458</v>
      </c>
      <c r="B606" s="1" t="s">
        <v>2826</v>
      </c>
      <c r="C606" s="1" t="str">
        <f>VLOOKUP(Apps[[#This Row],[CandID]],Cands[[CandID]:[Cand_Name]],2,0)</f>
        <v>Kov Sarom</v>
      </c>
      <c r="D606" s="1" t="s">
        <v>94</v>
      </c>
      <c r="E606" s="1" t="str">
        <f>_xlfn.IFNA(VLOOKUP(Apps[[#This Row],[PostID]],Posts[[PostID]:[Position]],2,0),"")</f>
        <v>Farm Manager</v>
      </c>
      <c r="F606" s="4">
        <v>45416</v>
      </c>
      <c r="G606" s="3" t="s">
        <v>2848</v>
      </c>
      <c r="M606" s="3"/>
    </row>
    <row r="607" spans="1:13" x14ac:dyDescent="0.3">
      <c r="A607" s="1" t="s">
        <v>3459</v>
      </c>
      <c r="B607" s="1" t="s">
        <v>2827</v>
      </c>
      <c r="C607" s="1" t="str">
        <f>VLOOKUP(Apps[[#This Row],[CandID]],Cands[[CandID]:[Cand_Name]],2,0)</f>
        <v>Duk Sophanna</v>
      </c>
      <c r="D607" s="1" t="s">
        <v>126</v>
      </c>
      <c r="E607" s="1" t="str">
        <f>_xlfn.IFNA(VLOOKUP(Apps[[#This Row],[PostID]],Posts[[PostID]:[Position]],2,0),"")</f>
        <v>Architect</v>
      </c>
      <c r="F607" s="4">
        <v>45416</v>
      </c>
      <c r="G607" s="3" t="s">
        <v>3539</v>
      </c>
      <c r="M607" s="3"/>
    </row>
    <row r="608" spans="1:13" x14ac:dyDescent="0.3">
      <c r="A608" s="1" t="s">
        <v>3460</v>
      </c>
      <c r="B608" s="1" t="s">
        <v>2828</v>
      </c>
      <c r="C608" s="1" t="str">
        <f>VLOOKUP(Apps[[#This Row],[CandID]],Cands[[CandID]:[Cand_Name]],2,0)</f>
        <v>Sim Chheko</v>
      </c>
      <c r="D608" s="1" t="s">
        <v>99</v>
      </c>
      <c r="E608" s="1" t="str">
        <f>_xlfn.IFNA(VLOOKUP(Apps[[#This Row],[PostID]],Posts[[PostID]:[Position]],2,0),"")</f>
        <v>Deputy Marketing Manager (event)</v>
      </c>
      <c r="F608" s="4">
        <v>45416</v>
      </c>
      <c r="G608" s="3" t="s">
        <v>2847</v>
      </c>
      <c r="H608" s="8" t="s">
        <v>3477</v>
      </c>
      <c r="M608" s="3"/>
    </row>
    <row r="609" spans="1:13" x14ac:dyDescent="0.3">
      <c r="A609" s="1" t="s">
        <v>3461</v>
      </c>
      <c r="B609" s="1" t="s">
        <v>2829</v>
      </c>
      <c r="C609" s="1" t="str">
        <f>VLOOKUP(Apps[[#This Row],[CandID]],Cands[[CandID]:[Cand_Name]],2,0)</f>
        <v>Koeun Saratt</v>
      </c>
      <c r="D609" s="1" t="s">
        <v>126</v>
      </c>
      <c r="E609" s="1" t="str">
        <f>_xlfn.IFNA(VLOOKUP(Apps[[#This Row],[PostID]],Posts[[PostID]:[Position]],2,0),"")</f>
        <v>Architect</v>
      </c>
      <c r="F609" s="4">
        <v>45418</v>
      </c>
      <c r="G609" s="3" t="s">
        <v>3539</v>
      </c>
      <c r="M609" s="3"/>
    </row>
    <row r="610" spans="1:13" x14ac:dyDescent="0.3">
      <c r="A610" s="1" t="s">
        <v>3462</v>
      </c>
      <c r="B610" s="1" t="s">
        <v>2830</v>
      </c>
      <c r="C610" s="1" t="str">
        <f>VLOOKUP(Apps[[#This Row],[CandID]],Cands[[CandID]:[Cand_Name]],2,0)</f>
        <v>Vong Veasna</v>
      </c>
      <c r="D610" s="1" t="s">
        <v>126</v>
      </c>
      <c r="E610" s="1" t="str">
        <f>_xlfn.IFNA(VLOOKUP(Apps[[#This Row],[PostID]],Posts[[PostID]:[Position]],2,0),"")</f>
        <v>Architect</v>
      </c>
      <c r="F610" s="4">
        <v>45416</v>
      </c>
      <c r="G610" s="3" t="s">
        <v>3539</v>
      </c>
      <c r="M610" s="3"/>
    </row>
    <row r="611" spans="1:13" x14ac:dyDescent="0.3">
      <c r="A611" s="1" t="s">
        <v>3463</v>
      </c>
      <c r="B611" s="1" t="s">
        <v>2831</v>
      </c>
      <c r="C611" s="1" t="str">
        <f>VLOOKUP(Apps[[#This Row],[CandID]],Cands[[CandID]:[Cand_Name]],2,0)</f>
        <v>Angkea Ra</v>
      </c>
      <c r="D611" s="1" t="s">
        <v>99</v>
      </c>
      <c r="E611" s="1" t="str">
        <f>_xlfn.IFNA(VLOOKUP(Apps[[#This Row],[PostID]],Posts[[PostID]:[Position]],2,0),"")</f>
        <v>Deputy Marketing Manager (event)</v>
      </c>
      <c r="F611" s="4">
        <v>45417</v>
      </c>
      <c r="G611" s="3" t="s">
        <v>3539</v>
      </c>
      <c r="M611" s="3"/>
    </row>
    <row r="612" spans="1:13" x14ac:dyDescent="0.3">
      <c r="A612" s="1" t="s">
        <v>3464</v>
      </c>
      <c r="B612" s="1" t="s">
        <v>2832</v>
      </c>
      <c r="C612" s="1" t="str">
        <f>VLOOKUP(Apps[[#This Row],[CandID]],Cands[[CandID]:[Cand_Name]],2,0)</f>
        <v>Ly Sokrey</v>
      </c>
      <c r="D612" s="1" t="s">
        <v>99</v>
      </c>
      <c r="E612" s="1" t="str">
        <f>_xlfn.IFNA(VLOOKUP(Apps[[#This Row],[PostID]],Posts[[PostID]:[Position]],2,0),"")</f>
        <v>Deputy Marketing Manager (event)</v>
      </c>
      <c r="F612" s="4">
        <v>45417</v>
      </c>
      <c r="G612" s="3" t="s">
        <v>3539</v>
      </c>
      <c r="M612" s="3"/>
    </row>
    <row r="613" spans="1:13" x14ac:dyDescent="0.3">
      <c r="A613" s="1" t="s">
        <v>3465</v>
      </c>
      <c r="B613" s="1" t="s">
        <v>2833</v>
      </c>
      <c r="C613" s="1" t="str">
        <f>VLOOKUP(Apps[[#This Row],[CandID]],Cands[[CandID]:[Cand_Name]],2,0)</f>
        <v>Oy Raksa</v>
      </c>
      <c r="D613" s="1" t="s">
        <v>126</v>
      </c>
      <c r="E613" s="1" t="str">
        <f>_xlfn.IFNA(VLOOKUP(Apps[[#This Row],[PostID]],Posts[[PostID]:[Position]],2,0),"")</f>
        <v>Architect</v>
      </c>
      <c r="F613" s="4">
        <v>45417</v>
      </c>
      <c r="G613" s="3" t="s">
        <v>3539</v>
      </c>
      <c r="M613" s="3"/>
    </row>
    <row r="614" spans="1:13" x14ac:dyDescent="0.3">
      <c r="A614" s="1" t="s">
        <v>3466</v>
      </c>
      <c r="B614" s="1" t="s">
        <v>2834</v>
      </c>
      <c r="C614" s="1" t="str">
        <f>VLOOKUP(Apps[[#This Row],[CandID]],Cands[[CandID]:[Cand_Name]],2,0)</f>
        <v>Thou Sothea</v>
      </c>
      <c r="D614" s="1" t="s">
        <v>99</v>
      </c>
      <c r="E614" s="1" t="str">
        <f>_xlfn.IFNA(VLOOKUP(Apps[[#This Row],[PostID]],Posts[[PostID]:[Position]],2,0),"")</f>
        <v>Deputy Marketing Manager (event)</v>
      </c>
      <c r="F614" s="4">
        <v>45417</v>
      </c>
      <c r="G614" s="3" t="s">
        <v>3539</v>
      </c>
      <c r="M614" s="3"/>
    </row>
    <row r="615" spans="1:13" x14ac:dyDescent="0.3">
      <c r="A615" s="1" t="s">
        <v>3467</v>
      </c>
      <c r="B615" s="1" t="s">
        <v>2835</v>
      </c>
      <c r="C615" s="1" t="str">
        <f>VLOOKUP(Apps[[#This Row],[CandID]],Cands[[CandID]:[Cand_Name]],2,0)</f>
        <v>Hor Chen</v>
      </c>
      <c r="D615" s="1" t="s">
        <v>126</v>
      </c>
      <c r="E615" s="1" t="str">
        <f>_xlfn.IFNA(VLOOKUP(Apps[[#This Row],[PostID]],Posts[[PostID]:[Position]],2,0),"")</f>
        <v>Architect</v>
      </c>
      <c r="F615" s="4">
        <v>45418</v>
      </c>
      <c r="G615" s="3" t="s">
        <v>3539</v>
      </c>
      <c r="M615" s="3"/>
    </row>
    <row r="616" spans="1:13" x14ac:dyDescent="0.3">
      <c r="A616" s="1" t="s">
        <v>3468</v>
      </c>
      <c r="B616" s="1" t="s">
        <v>2836</v>
      </c>
      <c r="C616" s="1" t="str">
        <f>VLOOKUP(Apps[[#This Row],[CandID]],Cands[[CandID]:[Cand_Name]],2,0)</f>
        <v>Orm Samrech</v>
      </c>
      <c r="D616" s="1" t="s">
        <v>126</v>
      </c>
      <c r="E616" s="1" t="str">
        <f>_xlfn.IFNA(VLOOKUP(Apps[[#This Row],[PostID]],Posts[[PostID]:[Position]],2,0),"")</f>
        <v>Architect</v>
      </c>
      <c r="F616" s="4">
        <v>45418</v>
      </c>
      <c r="G616" s="3" t="s">
        <v>3539</v>
      </c>
      <c r="M616" s="3"/>
    </row>
    <row r="617" spans="1:13" x14ac:dyDescent="0.3">
      <c r="A617" s="1" t="s">
        <v>3469</v>
      </c>
      <c r="B617" s="1" t="s">
        <v>2837</v>
      </c>
      <c r="C617" s="1" t="str">
        <f>VLOOKUP(Apps[[#This Row],[CandID]],Cands[[CandID]:[Cand_Name]],2,0)</f>
        <v>Yong Veasna</v>
      </c>
      <c r="D617" s="1" t="s">
        <v>99</v>
      </c>
      <c r="E617" s="1" t="str">
        <f>_xlfn.IFNA(VLOOKUP(Apps[[#This Row],[PostID]],Posts[[PostID]:[Position]],2,0),"")</f>
        <v>Deputy Marketing Manager (event)</v>
      </c>
      <c r="F617" s="4">
        <v>45418</v>
      </c>
      <c r="G617" s="3" t="s">
        <v>3539</v>
      </c>
      <c r="M617" s="3"/>
    </row>
    <row r="618" spans="1:13" x14ac:dyDescent="0.3">
      <c r="A618" s="1" t="s">
        <v>3470</v>
      </c>
      <c r="B618" s="1" t="s">
        <v>2838</v>
      </c>
      <c r="C618" s="1" t="str">
        <f>VLOOKUP(Apps[[#This Row],[CandID]],Cands[[CandID]:[Cand_Name]],2,0)</f>
        <v>Yem Sophann</v>
      </c>
      <c r="D618" s="1" t="s">
        <v>94</v>
      </c>
      <c r="E618" s="1" t="str">
        <f>_xlfn.IFNA(VLOOKUP(Apps[[#This Row],[PostID]],Posts[[PostID]:[Position]],2,0),"")</f>
        <v>Farm Manager</v>
      </c>
      <c r="F618" s="4">
        <v>45413</v>
      </c>
      <c r="G618" s="3" t="s">
        <v>3539</v>
      </c>
      <c r="M618" s="3"/>
    </row>
    <row r="619" spans="1:13" x14ac:dyDescent="0.3">
      <c r="A619" s="1" t="s">
        <v>3471</v>
      </c>
      <c r="B619" s="1" t="s">
        <v>2839</v>
      </c>
      <c r="C619" s="1" t="str">
        <f>VLOOKUP(Apps[[#This Row],[CandID]],Cands[[CandID]:[Cand_Name]],2,0)</f>
        <v>Phal Tivoine</v>
      </c>
      <c r="D619" s="1" t="s">
        <v>94</v>
      </c>
      <c r="E619" s="1" t="str">
        <f>_xlfn.IFNA(VLOOKUP(Apps[[#This Row],[PostID]],Posts[[PostID]:[Position]],2,0),"")</f>
        <v>Farm Manager</v>
      </c>
      <c r="F619" s="4">
        <v>45416</v>
      </c>
      <c r="G619" s="3" t="s">
        <v>2848</v>
      </c>
      <c r="M619" s="3"/>
    </row>
    <row r="620" spans="1:13" x14ac:dyDescent="0.3">
      <c r="A620" s="1" t="s">
        <v>3472</v>
      </c>
      <c r="B620" s="1" t="s">
        <v>2840</v>
      </c>
      <c r="C620" s="1" t="str">
        <f>VLOOKUP(Apps[[#This Row],[CandID]],Cands[[CandID]:[Cand_Name]],2,0)</f>
        <v>Chhun Sophanarong</v>
      </c>
      <c r="D620" s="1" t="s">
        <v>119</v>
      </c>
      <c r="E620" s="1" t="str">
        <f>_xlfn.IFNA(VLOOKUP(Apps[[#This Row],[PostID]],Posts[[PostID]:[Position]],2,0),"")</f>
        <v>HRBP</v>
      </c>
      <c r="F620" s="4">
        <v>45418</v>
      </c>
      <c r="G620" s="3" t="s">
        <v>2847</v>
      </c>
      <c r="M620" s="3"/>
    </row>
  </sheetData>
  <dataValidations count="8">
    <dataValidation type="list" allowBlank="1" showInputMessage="1" showErrorMessage="1" sqref="H2:H620" xr:uid="{22922C32-33DC-42A4-9753-A0AE23758ACD}">
      <formula1>"Yes,No"</formula1>
    </dataValidation>
    <dataValidation type="custom" allowBlank="1" showInputMessage="1" showErrorMessage="1" errorTitle="Error Date" error="Interview date must be later than applied date." sqref="I2:I620" xr:uid="{AFE6AD99-6F46-4185-90DE-D01D7A3E3567}">
      <formula1>AND($I2&gt;=$F2)</formula1>
    </dataValidation>
    <dataValidation type="custom" allowBlank="1" showInputMessage="1" showErrorMessage="1" errorTitle="Error Date" error="Interview date must be later than applied date." sqref="J2:J620" xr:uid="{5CB5FEA9-7CBD-4D5F-8713-3E43DAECF976}">
      <formula1>AND($J2&gt;=$F2)</formula1>
    </dataValidation>
    <dataValidation type="custom" allowBlank="1" showInputMessage="1" showErrorMessage="1" errorTitle="Error Date" error="Interview date must be later than applied or interview date." sqref="L2:L620" xr:uid="{406949F2-F87E-4016-A3A9-80E433E8C60E}">
      <formula1>($L2&gt;=MAX($F2,$I2,$J2))</formula1>
    </dataValidation>
    <dataValidation type="list" allowBlank="1" showInputMessage="1" showErrorMessage="1" sqref="M2:M620" xr:uid="{9774EC67-0A22-4464-AA13-AFAAE2BE292D}">
      <formula1>"Accepted,Rejected"</formula1>
    </dataValidation>
    <dataValidation type="list" allowBlank="1" showInputMessage="1" showErrorMessage="1" sqref="N2:N620" xr:uid="{6B48FACF-9166-4186-8F3C-4C4E15488DAF}">
      <formula1>"Yes"</formula1>
    </dataValidation>
    <dataValidation type="list" allowBlank="1" showInputMessage="1" showErrorMessage="1" sqref="K2:K620" xr:uid="{51EAC4AE-4ECB-4F14-B227-19656879AFDE}">
      <formula1>"Failed,Passed"</formula1>
    </dataValidation>
    <dataValidation type="list" allowBlank="1" showInputMessage="1" showErrorMessage="1" sqref="G2:G620" xr:uid="{54A33B61-6EFF-4908-A294-ABB1D48CDE98}">
      <formula1>"CamHR,Telegram,Khmer24,Referral,BongThom,LinkedIn,Others"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CE1022-49B3-45A7-B5BC-EC41C9398F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Position</vt:lpstr>
      <vt:lpstr>Candidate</vt:lpstr>
      <vt:lpstr>Application</vt:lpstr>
      <vt:lpstr>lbl_wt_1</vt:lpstr>
      <vt:lpstr>lbl_wt_2</vt:lpstr>
      <vt:lpstr>lbl_wt_3</vt:lpstr>
      <vt:lpstr>lbl_wt_4</vt:lpstr>
      <vt:lpstr>lbl_wt_5</vt:lpstr>
      <vt:lpstr>month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Mek Rotha</dc:creator>
  <cp:lastModifiedBy>Mek Rotha</cp:lastModifiedBy>
  <dcterms:created xsi:type="dcterms:W3CDTF">2024-05-29T07:59:46Z</dcterms:created>
  <dcterms:modified xsi:type="dcterms:W3CDTF">2024-06-08T13:35:50Z</dcterms:modified>
</cp:coreProperties>
</file>